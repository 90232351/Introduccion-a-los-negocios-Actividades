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cqu\Downloads\"/>
    </mc:Choice>
  </mc:AlternateContent>
  <xr:revisionPtr revIDLastSave="0" documentId="13_ncr:1_{33564E63-CF96-4B99-845A-ED23402536B7}" xr6:coauthVersionLast="47" xr6:coauthVersionMax="47" xr10:uidLastSave="{00000000-0000-0000-0000-000000000000}"/>
  <bookViews>
    <workbookView xWindow="-120" yWindow="-120" windowWidth="20730" windowHeight="11040" xr2:uid="{3458C43F-E966-4206-B93D-CCBD3631B189}"/>
  </bookViews>
  <sheets>
    <sheet name="REGRESION LINEAL" sheetId="1" r:id="rId1"/>
    <sheet name="COEFICIENTES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7" i="1" l="1"/>
  <c r="K4" i="1"/>
  <c r="I10" i="1"/>
  <c r="I8" i="1"/>
  <c r="I5" i="1"/>
  <c r="I4" i="1"/>
  <c r="F23" i="1"/>
  <c r="N23" i="2"/>
  <c r="H65" i="2"/>
  <c r="A65" i="2"/>
  <c r="F26" i="2"/>
  <c r="K24" i="2"/>
  <c r="K23" i="2"/>
  <c r="H24" i="2"/>
  <c r="H23" i="2"/>
  <c r="E24" i="2"/>
  <c r="E23" i="2"/>
  <c r="E60" i="1"/>
  <c r="C60" i="1"/>
  <c r="B60" i="1"/>
  <c r="H59" i="1"/>
  <c r="G59" i="1"/>
  <c r="F59" i="1"/>
  <c r="H58" i="1"/>
  <c r="G58" i="1"/>
  <c r="F58" i="1"/>
  <c r="H57" i="1"/>
  <c r="G57" i="1"/>
  <c r="F57" i="1"/>
  <c r="H56" i="1"/>
  <c r="G56" i="1"/>
  <c r="F56" i="1"/>
  <c r="H55" i="1"/>
  <c r="G55" i="1"/>
  <c r="F55" i="1"/>
  <c r="H54" i="1"/>
  <c r="G54" i="1"/>
  <c r="F54" i="1"/>
  <c r="H53" i="1"/>
  <c r="G53" i="1"/>
  <c r="F53" i="1"/>
  <c r="H52" i="1"/>
  <c r="G52" i="1"/>
  <c r="F52" i="1"/>
  <c r="H51" i="1"/>
  <c r="G51" i="1"/>
  <c r="F51" i="1"/>
  <c r="H50" i="1"/>
  <c r="H60" i="1" s="1"/>
  <c r="G50" i="1"/>
  <c r="G60" i="1" s="1"/>
  <c r="F50" i="1"/>
  <c r="F60" i="1" s="1"/>
  <c r="C17" i="2"/>
  <c r="G17" i="2"/>
  <c r="F17" i="2"/>
  <c r="E17" i="2"/>
  <c r="D17" i="2"/>
  <c r="G6" i="2"/>
  <c r="G7" i="2"/>
  <c r="G8" i="2"/>
  <c r="G9" i="2"/>
  <c r="G10" i="2"/>
  <c r="G11" i="2"/>
  <c r="G12" i="2"/>
  <c r="G13" i="2"/>
  <c r="G14" i="2"/>
  <c r="G15" i="2"/>
  <c r="G16" i="2"/>
  <c r="G5" i="2"/>
  <c r="F6" i="2"/>
  <c r="F7" i="2"/>
  <c r="F8" i="2"/>
  <c r="F9" i="2"/>
  <c r="F10" i="2"/>
  <c r="F11" i="2"/>
  <c r="F12" i="2"/>
  <c r="F13" i="2"/>
  <c r="F14" i="2"/>
  <c r="F15" i="2"/>
  <c r="F16" i="2"/>
  <c r="F5" i="2"/>
  <c r="E7" i="2"/>
  <c r="E8" i="2"/>
  <c r="E9" i="2"/>
  <c r="E10" i="2"/>
  <c r="E11" i="2"/>
  <c r="E12" i="2"/>
  <c r="E13" i="2"/>
  <c r="E14" i="2"/>
  <c r="E15" i="2"/>
  <c r="E16" i="2"/>
  <c r="E6" i="2"/>
  <c r="G22" i="1"/>
  <c r="G23" i="1" s="1"/>
  <c r="E5" i="2"/>
  <c r="H23" i="1"/>
  <c r="H14" i="1"/>
  <c r="H15" i="1"/>
  <c r="H16" i="1"/>
  <c r="H17" i="1"/>
  <c r="H18" i="1"/>
  <c r="H19" i="1"/>
  <c r="H20" i="1"/>
  <c r="H21" i="1"/>
  <c r="H22" i="1"/>
  <c r="H13" i="1"/>
  <c r="G21" i="1"/>
  <c r="G20" i="1"/>
  <c r="G19" i="1"/>
  <c r="G18" i="1"/>
  <c r="G17" i="1"/>
  <c r="G16" i="1"/>
  <c r="G15" i="1"/>
  <c r="G14" i="1"/>
  <c r="G13" i="1"/>
  <c r="F22" i="1"/>
  <c r="F20" i="1"/>
  <c r="F21" i="1"/>
  <c r="F19" i="1"/>
  <c r="F18" i="1"/>
  <c r="F17" i="1"/>
  <c r="F16" i="1"/>
  <c r="F15" i="1"/>
  <c r="F14" i="1"/>
  <c r="F13" i="1"/>
  <c r="E23" i="1"/>
  <c r="C23" i="1"/>
  <c r="B23" i="1"/>
</calcChain>
</file>

<file path=xl/sharedStrings.xml><?xml version="1.0" encoding="utf-8"?>
<sst xmlns="http://schemas.openxmlformats.org/spreadsheetml/2006/main" count="131" uniqueCount="103">
  <si>
    <t xml:space="preserve">Se requiere conocer la relacion existente entre el numero de empleados en las sucursales y </t>
  </si>
  <si>
    <t xml:space="preserve">la cantidad de asesores disponibles en atencion al cliente, en contraparte con el numero </t>
  </si>
  <si>
    <t>de quejas recibidas en cada sucursal.</t>
  </si>
  <si>
    <t xml:space="preserve">Identificar si existe una relacion entre estos factores con el fin de determinar si es </t>
  </si>
  <si>
    <t>necesario contratar a mas personal o reasignando en atencion al cliente.</t>
  </si>
  <si>
    <t>DONDE</t>
  </si>
  <si>
    <t>X= personal por sucursal</t>
  </si>
  <si>
    <t xml:space="preserve">Y= numeros de quejas </t>
  </si>
  <si>
    <t>Codigo de sucursal</t>
  </si>
  <si>
    <t>Numero de quejas</t>
  </si>
  <si>
    <t>Personal por sucursal</t>
  </si>
  <si>
    <t>Asesores activos en atencion</t>
  </si>
  <si>
    <t>01 SucMexico</t>
  </si>
  <si>
    <t>02 SucHidalgo</t>
  </si>
  <si>
    <t>03 SucMerida</t>
  </si>
  <si>
    <t>04 SucValladolid</t>
  </si>
  <si>
    <t>05 SucVeracruz</t>
  </si>
  <si>
    <t>06 SucMazatlan</t>
  </si>
  <si>
    <t>07 SucGuadalajara</t>
  </si>
  <si>
    <t>08 SucCampeche</t>
  </si>
  <si>
    <t>09 SucMonterrey</t>
  </si>
  <si>
    <t>10 SucChiapas</t>
  </si>
  <si>
    <t>a) Determinar la relación entre la variable personal por sucursal (X) y el numero de quejas (Y)</t>
  </si>
  <si>
    <t>*Insertar un grafico de dispersion que relaciona ambas variables, este debera mostrar 1. Linea de Tendencia</t>
  </si>
  <si>
    <t>2. La funcion lineal y 3. la funcion del valor del coeficiente (r^2)</t>
  </si>
  <si>
    <t>b) utilizando las variables numero de personal por sucursal, numero de asesores en atencion a clientes y el numero de quejas.</t>
  </si>
  <si>
    <t xml:space="preserve">* Insertar el grafico y los resultados en una hoja nueva </t>
  </si>
  <si>
    <t>* Calcular la regresion lineal general de las variables indicadas utilizando la herramienta de analisis de datos de Excel.</t>
  </si>
  <si>
    <t xml:space="preserve">Se desa contrastar la relacion de los siguientes gastos de produccion con las ventas generadas. Por lo tanto tenemos que: </t>
  </si>
  <si>
    <t xml:space="preserve">Gastos de produccion </t>
  </si>
  <si>
    <t>Mes</t>
  </si>
  <si>
    <t>X</t>
  </si>
  <si>
    <t>Ventas Totales</t>
  </si>
  <si>
    <t>Y</t>
  </si>
  <si>
    <t>X*Y</t>
  </si>
  <si>
    <t>suma</t>
  </si>
  <si>
    <t>n</t>
  </si>
  <si>
    <t>a) Calcular el coeficiente de correlacion lineal con la formula estandar, para esto es necesario completar la tabla</t>
  </si>
  <si>
    <t>vi</t>
  </si>
  <si>
    <t>vd</t>
  </si>
  <si>
    <t xml:space="preserve">x </t>
  </si>
  <si>
    <t>y</t>
  </si>
  <si>
    <t xml:space="preserve">Coeficiente de correlacion: Relacion entre dos variables </t>
  </si>
  <si>
    <t>x*Y</t>
  </si>
  <si>
    <t>b) Calcular el coeficiente de determinacion (coeficiente de correlacion elevado al cuadrado)</t>
  </si>
  <si>
    <t xml:space="preserve">R^2=Variacion Explicada/ Variacion Total </t>
  </si>
  <si>
    <t>X=25700/12=2141.6666</t>
  </si>
  <si>
    <t>y=535000/12=44583.3333</t>
  </si>
  <si>
    <t>x</t>
  </si>
  <si>
    <t xml:space="preserve">  </t>
  </si>
  <si>
    <t>X barra=</t>
  </si>
  <si>
    <t>Y barra=</t>
  </si>
  <si>
    <t>Sx=</t>
  </si>
  <si>
    <t>Sy=</t>
  </si>
  <si>
    <t>Sxy=</t>
  </si>
  <si>
    <t>S^2x=</t>
  </si>
  <si>
    <t>R=</t>
  </si>
  <si>
    <r>
      <t>β1</t>
    </r>
    <r>
      <rPr>
        <sz val="8.8000000000000007"/>
        <color theme="1"/>
        <rFont val="Calibri"/>
        <family val="2"/>
      </rPr>
      <t>=</t>
    </r>
  </si>
  <si>
    <r>
      <t>β0</t>
    </r>
    <r>
      <rPr>
        <sz val="8.8000000000000007"/>
        <color theme="1"/>
        <rFont val="Calibri"/>
        <family val="2"/>
      </rPr>
      <t>=</t>
    </r>
  </si>
  <si>
    <r>
      <t>β1</t>
    </r>
    <r>
      <rPr>
        <sz val="8.8000000000000007"/>
        <color theme="1"/>
        <rFont val="Calibri"/>
        <family val="2"/>
      </rPr>
      <t>=SY/SX8R)</t>
    </r>
  </si>
  <si>
    <t>β0=Ybarra-(β1)(xbarra)</t>
  </si>
  <si>
    <t>rxy^2=0.1752087141</t>
  </si>
  <si>
    <t>c) Insertar un grafico de dispersion que relacione ambas variables (X,Y). En este insertar Linea de tendencia, Funcion Lineal y La funcion del valor del coeficiente r^2</t>
  </si>
  <si>
    <t>d) Indicar cual es la ecuacion de la recta de regresion, Para esto calcular:</t>
  </si>
  <si>
    <t>Formula en Excel=INTERSECCION.EJE (x.y)</t>
  </si>
  <si>
    <t>Formula en Excel=PENDIENTE(X.Y)</t>
  </si>
  <si>
    <t>Y=mx +n</t>
  </si>
  <si>
    <t>m=y2-y1/x2-X1</t>
  </si>
  <si>
    <t>y=5.0736x+33717</t>
  </si>
  <si>
    <t>Xbarra=</t>
  </si>
  <si>
    <t>Ybarra=</t>
  </si>
  <si>
    <t>S^2X=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</si>
  <si>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</si>
  <si>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</si>
  <si>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</si>
  <si>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</si>
  <si>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</si>
  <si>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</si>
  <si>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</si>
  <si>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</si>
  <si>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</si>
  <si>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</si>
  <si>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</si>
  <si>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</si>
  <si>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</si>
  <si>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</si>
  <si>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</si>
  <si>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</si>
  <si>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</si>
  <si>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</si>
  <si>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</si>
  <si>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</si>
  <si>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</si>
  <si>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</si>
  <si>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</si>
  <si>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</si>
  <si>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</si>
  <si>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</si>
  <si>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Numero de quejas</t>
  </si>
  <si>
    <t>Residuals</t>
  </si>
  <si>
    <t>Standard Residuals</t>
  </si>
  <si>
    <t>PROBABILITY OUTPUT</t>
  </si>
  <si>
    <t>Percentile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</si>
</sst>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8.8000000000000007"/>
      <color theme="1"/>
      <name val="Calibri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18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5" fillId="0" borderId="0" xfId="0" applyFont="1"/>
    <xf numFmtId="0" fontId="5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1" xfId="0" applyBorder="1"/>
    <xf numFmtId="0" fontId="8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Continuous"/>
    </xf>
    <xf numFmtId="9" fontId="0" fillId="0" borderId="0" xfId="1" applyFont="1" applyFill="1" applyBorder="1" applyAlignment="1"/>
    <xf numFmtId="9" fontId="0" fillId="0" borderId="1" xfId="1" applyFont="1" applyFill="1" applyBorder="1" applyAlignme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4440138585480291"/>
                  <c:y val="-0.265929758578465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</c:trendlineLbl>
          </c:trendline>
          <c:xVal>
            <c:numRef>
              <c:f>'REGRESION LINEAL'!$A$30:$A$39</c:f>
              <c:numCache>
                <c:formatCode>General</c:formatCode>
                <c:ptCount val="10"/>
                <c:pt idx="0">
                  <c:v>75</c:v>
                </c:pt>
                <c:pt idx="1">
                  <c:v>241</c:v>
                </c:pt>
                <c:pt idx="2">
                  <c:v>310</c:v>
                </c:pt>
                <c:pt idx="3">
                  <c:v>50</c:v>
                </c:pt>
                <c:pt idx="4">
                  <c:v>250</c:v>
                </c:pt>
                <c:pt idx="5">
                  <c:v>250</c:v>
                </c:pt>
                <c:pt idx="6">
                  <c:v>259</c:v>
                </c:pt>
                <c:pt idx="7">
                  <c:v>302</c:v>
                </c:pt>
                <c:pt idx="8">
                  <c:v>247</c:v>
                </c:pt>
                <c:pt idx="9">
                  <c:v>180</c:v>
                </c:pt>
              </c:numCache>
            </c:numRef>
          </c:xVal>
          <c:yVal>
            <c:numRef>
              <c:f>'REGRESION LINEAL'!$B$30:$B$39</c:f>
              <c:numCache>
                <c:formatCode>General</c:formatCode>
                <c:ptCount val="10"/>
                <c:pt idx="0">
                  <c:v>12</c:v>
                </c:pt>
                <c:pt idx="1">
                  <c:v>14</c:v>
                </c:pt>
                <c:pt idx="2">
                  <c:v>16</c:v>
                </c:pt>
                <c:pt idx="3">
                  <c:v>11</c:v>
                </c:pt>
                <c:pt idx="4">
                  <c:v>12</c:v>
                </c:pt>
                <c:pt idx="5">
                  <c:v>16</c:v>
                </c:pt>
                <c:pt idx="6">
                  <c:v>16</c:v>
                </c:pt>
                <c:pt idx="7">
                  <c:v>8</c:v>
                </c:pt>
                <c:pt idx="8">
                  <c:v>16</c:v>
                </c:pt>
                <c:pt idx="9">
                  <c:v>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25-4CCB-A827-377F15D0F9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001743"/>
        <c:axId val="160000303"/>
      </c:scatterChart>
      <c:valAx>
        <c:axId val="160001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0000303"/>
        <c:crosses val="autoZero"/>
        <c:crossBetween val="midCat"/>
      </c:valAx>
      <c:valAx>
        <c:axId val="160000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00017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COEFICIENTES!$D$4</c:f>
              <c:strCache>
                <c:ptCount val="1"/>
                <c:pt idx="0">
                  <c:v>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8269116360454942"/>
                  <c:y val="-0.2163855273226085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</c:trendlineLbl>
          </c:trendline>
          <c:xVal>
            <c:numRef>
              <c:f>COEFICIENTES!$C$5:$C$16</c:f>
              <c:numCache>
                <c:formatCode>General</c:formatCode>
                <c:ptCount val="12"/>
                <c:pt idx="0">
                  <c:v>1200</c:v>
                </c:pt>
                <c:pt idx="1">
                  <c:v>1300</c:v>
                </c:pt>
                <c:pt idx="2">
                  <c:v>1450</c:v>
                </c:pt>
                <c:pt idx="3">
                  <c:v>1600</c:v>
                </c:pt>
                <c:pt idx="4">
                  <c:v>2000</c:v>
                </c:pt>
                <c:pt idx="5">
                  <c:v>2450</c:v>
                </c:pt>
                <c:pt idx="6">
                  <c:v>3100</c:v>
                </c:pt>
                <c:pt idx="7">
                  <c:v>1200</c:v>
                </c:pt>
                <c:pt idx="8">
                  <c:v>1900</c:v>
                </c:pt>
                <c:pt idx="9">
                  <c:v>2500</c:v>
                </c:pt>
                <c:pt idx="10">
                  <c:v>3000</c:v>
                </c:pt>
                <c:pt idx="11">
                  <c:v>4000</c:v>
                </c:pt>
              </c:numCache>
            </c:numRef>
          </c:xVal>
          <c:yVal>
            <c:numRef>
              <c:f>COEFICIENTES!$D$5:$D$16</c:f>
              <c:numCache>
                <c:formatCode>General</c:formatCode>
                <c:ptCount val="12"/>
                <c:pt idx="0">
                  <c:v>30000</c:v>
                </c:pt>
                <c:pt idx="1">
                  <c:v>40000</c:v>
                </c:pt>
                <c:pt idx="2">
                  <c:v>35000</c:v>
                </c:pt>
                <c:pt idx="3">
                  <c:v>35000</c:v>
                </c:pt>
                <c:pt idx="4">
                  <c:v>35000</c:v>
                </c:pt>
                <c:pt idx="5">
                  <c:v>50000</c:v>
                </c:pt>
                <c:pt idx="6">
                  <c:v>60000</c:v>
                </c:pt>
                <c:pt idx="7">
                  <c:v>65000</c:v>
                </c:pt>
                <c:pt idx="8">
                  <c:v>40000</c:v>
                </c:pt>
                <c:pt idx="9">
                  <c:v>45000</c:v>
                </c:pt>
                <c:pt idx="10">
                  <c:v>50000</c:v>
                </c:pt>
                <c:pt idx="11">
                  <c:v>50000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B7-48FD-8F89-379FDE7E7C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8992799"/>
        <c:axId val="1038988479"/>
      </c:scatterChart>
      <c:valAx>
        <c:axId val="1038992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38988479"/>
        <c:crosses val="autoZero"/>
        <c:crossBetween val="midCat"/>
      </c:valAx>
      <c:valAx>
        <c:axId val="1038988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389927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469503</xdr:colOff>
      <xdr:row>2</xdr:row>
      <xdr:rowOff>5158</xdr:rowOff>
    </xdr:from>
    <xdr:ext cx="1510903" cy="3740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CuadroTexto 8">
              <a:extLst>
                <a:ext uri="{FF2B5EF4-FFF2-40B4-BE49-F238E27FC236}">
                  <a16:creationId xmlns:a16="http://schemas.microsoft.com/office/drawing/2014/main" id="{A57CC9C3-430B-5FFA-D5E3-A121F6794268}"/>
                </a:ext>
              </a:extLst>
            </xdr:cNvPr>
            <xdr:cNvSpPr txBox="1"/>
          </xdr:nvSpPr>
          <xdr:spPr>
            <a:xfrm>
              <a:off x="10534253" y="407325"/>
              <a:ext cx="1510903" cy="3740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100" b="0" i="1">
                        <a:latin typeface="Cambria Math" panose="02040503050406030204" pitchFamily="18" charset="0"/>
                      </a:rPr>
                      <m:t>𝑟𝑥𝑦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=</m:t>
                    </m:r>
                    <m:box>
                      <m:box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boxPr>
                      <m:e>
                        <m:argPr>
                          <m:argSz m:val="-1"/>
                        </m:argPr>
                        <m:f>
                          <m:fPr>
                            <m:ctrlPr>
                              <a:rPr lang="es-MX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nary>
                              <m:naryPr>
                                <m:chr m:val="∑"/>
                                <m:subHide m:val="on"/>
                                <m:supHide m:val="on"/>
                                <m:ctrlPr>
                                  <a:rPr lang="es-MX" sz="1100" b="0" i="1">
                                    <a:latin typeface="Cambria Math" panose="02040503050406030204" pitchFamily="18" charset="0"/>
                                  </a:rPr>
                                </m:ctrlPr>
                              </m:naryPr>
                              <m:sub/>
                              <m:sup/>
                              <m:e>
                                <m:r>
                                  <a:rPr lang="es-MX" sz="1100" b="0" i="1">
                                    <a:latin typeface="Cambria Math" panose="02040503050406030204" pitchFamily="18" charset="0"/>
                                  </a:rPr>
                                  <m:t>𝑥𝑦</m:t>
                                </m:r>
                              </m:e>
                            </m:nary>
                          </m:num>
                          <m:den>
                            <m:rad>
                              <m:radPr>
                                <m:degHide m:val="on"/>
                                <m:ctrlPr>
                                  <a:rPr lang="es-MX" sz="1100" b="0" i="1">
                                    <a:latin typeface="Cambria Math" panose="02040503050406030204" pitchFamily="18" charset="0"/>
                                  </a:rPr>
                                </m:ctrlPr>
                              </m:radPr>
                              <m:deg/>
                              <m:e>
                                <m:nary>
                                  <m:naryPr>
                                    <m:chr m:val="∑"/>
                                    <m:subHide m:val="on"/>
                                    <m:supHide m:val="on"/>
                                    <m:ctrlPr>
                                      <a:rPr lang="es-MX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naryPr>
                                  <m:sub/>
                                  <m:sup/>
                                  <m:e>
                                    <m:sSup>
                                      <m:sSupPr>
                                        <m:ctrlPr>
                                          <a:rPr lang="es-MX" sz="1100" b="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pPr>
                                      <m:e>
                                        <m:r>
                                          <a:rPr lang="es-MX" sz="1100" b="0" i="1">
                                            <a:latin typeface="Cambria Math" panose="02040503050406030204" pitchFamily="18" charset="0"/>
                                          </a:rPr>
                                          <m:t>𝑥</m:t>
                                        </m:r>
                                      </m:e>
                                      <m:sup>
                                        <m:r>
                                          <a:rPr lang="es-MX" sz="1100" b="0" i="1">
                                            <a:latin typeface="Cambria Math" panose="02040503050406030204" pitchFamily="18" charset="0"/>
                                          </a:rPr>
                                          <m:t>2</m:t>
                                        </m:r>
                                      </m:sup>
                                    </m:sSup>
                                    <m:rad>
                                      <m:radPr>
                                        <m:degHide m:val="on"/>
                                        <m:ctrlPr>
                                          <a:rPr lang="es-MX" sz="1100" b="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radPr>
                                      <m:deg/>
                                      <m:e>
                                        <m:sSup>
                                          <m:sSupPr>
                                            <m:ctrlPr>
                                              <a:rPr lang="es-MX" sz="1100" b="0" i="1"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sSupPr>
                                          <m:e>
                                            <m:r>
                                              <a:rPr lang="es-MX" sz="1100" b="0" i="1">
                                                <a:latin typeface="Cambria Math" panose="02040503050406030204" pitchFamily="18" charset="0"/>
                                              </a:rPr>
                                              <m:t>𝑦</m:t>
                                            </m:r>
                                          </m:e>
                                          <m:sup>
                                            <m:r>
                                              <a:rPr lang="es-MX" sz="1100" b="0" i="1">
                                                <a:latin typeface="Cambria Math" panose="02040503050406030204" pitchFamily="18" charset="0"/>
                                              </a:rPr>
                                              <m:t>2</m:t>
                                            </m:r>
                                          </m:sup>
                                        </m:sSup>
                                      </m:e>
                                    </m:rad>
                                  </m:e>
                                </m:nary>
                              </m:e>
                            </m:rad>
                          </m:den>
                        </m:f>
                      </m:e>
                    </m:box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9" name="CuadroTexto 8">
              <a:extLst>
                <a:ext uri="{FF2B5EF4-FFF2-40B4-BE49-F238E27FC236}">
                  <a16:creationId xmlns:a16="http://schemas.microsoft.com/office/drawing/2014/main" id="{A57CC9C3-430B-5FFA-D5E3-A121F6794268}"/>
                </a:ext>
              </a:extLst>
            </xdr:cNvPr>
            <xdr:cNvSpPr txBox="1"/>
          </xdr:nvSpPr>
          <xdr:spPr>
            <a:xfrm>
              <a:off x="10534253" y="407325"/>
              <a:ext cx="1510903" cy="3740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MX" sz="1100" b="0" i="0">
                  <a:latin typeface="Cambria Math" panose="02040503050406030204" pitchFamily="18" charset="0"/>
                </a:rPr>
                <a:t>𝑟𝑥𝑦=□(64&amp;(∑▒𝑥𝑦)/√(∑▒〖𝑥^2 √(𝑦^2 )〗))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11</xdr:col>
      <xdr:colOff>681169</xdr:colOff>
      <xdr:row>4</xdr:row>
      <xdr:rowOff>125543</xdr:rowOff>
    </xdr:from>
    <xdr:ext cx="1522809" cy="43934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CuadroTexto 9">
              <a:extLst>
                <a:ext uri="{FF2B5EF4-FFF2-40B4-BE49-F238E27FC236}">
                  <a16:creationId xmlns:a16="http://schemas.microsoft.com/office/drawing/2014/main" id="{E180F0F5-C9C0-F3F4-3D18-6096E667C88E}"/>
                </a:ext>
              </a:extLst>
            </xdr:cNvPr>
            <xdr:cNvSpPr txBox="1"/>
          </xdr:nvSpPr>
          <xdr:spPr>
            <a:xfrm>
              <a:off x="10745919" y="929876"/>
              <a:ext cx="1522809" cy="4393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100" b="0" i="1">
                        <a:latin typeface="Cambria Math" panose="02040503050406030204" pitchFamily="18" charset="0"/>
                      </a:rPr>
                      <m:t>𝑟𝑥𝑦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=</m:t>
                    </m:r>
                    <m:box>
                      <m:box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boxPr>
                      <m:e>
                        <m:argPr>
                          <m:argSz m:val="-1"/>
                        </m:argPr>
                        <m:f>
                          <m:fPr>
                            <m:ctrlPr>
                              <a:rPr lang="es-MX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MX" sz="1100" b="0" i="1">
                                <a:latin typeface="Cambria Math" panose="02040503050406030204" pitchFamily="18" charset="0"/>
                              </a:rPr>
                              <m:t>2,303</m:t>
                            </m:r>
                          </m:num>
                          <m:den>
                            <m:rad>
                              <m:radPr>
                                <m:degHide m:val="on"/>
                                <m:ctrlPr>
                                  <a:rPr lang="es-MX" sz="1100" b="0" i="1">
                                    <a:latin typeface="Cambria Math" panose="02040503050406030204" pitchFamily="18" charset="0"/>
                                  </a:rPr>
                                </m:ctrlPr>
                              </m:radPr>
                              <m:deg/>
                              <m:e>
                                <m:r>
                                  <a:rPr lang="es-MX" sz="1100" b="0" i="1">
                                    <a:latin typeface="Cambria Math" panose="02040503050406030204" pitchFamily="18" charset="0"/>
                                  </a:rPr>
                                  <m:t>2017539000</m:t>
                                </m:r>
                              </m:e>
                            </m:rad>
                          </m:den>
                        </m:f>
                      </m:e>
                    </m:box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10" name="CuadroTexto 9">
              <a:extLst>
                <a:ext uri="{FF2B5EF4-FFF2-40B4-BE49-F238E27FC236}">
                  <a16:creationId xmlns:a16="http://schemas.microsoft.com/office/drawing/2014/main" id="{E180F0F5-C9C0-F3F4-3D18-6096E667C88E}"/>
                </a:ext>
              </a:extLst>
            </xdr:cNvPr>
            <xdr:cNvSpPr txBox="1"/>
          </xdr:nvSpPr>
          <xdr:spPr>
            <a:xfrm>
              <a:off x="10745919" y="929876"/>
              <a:ext cx="1522809" cy="4393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s-MX" sz="1100" b="0" i="0">
                  <a:latin typeface="Cambria Math" panose="02040503050406030204" pitchFamily="18" charset="0"/>
                </a:rPr>
                <a:t>𝑟𝑥𝑦=□(64&amp;2,303/√2017539000)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12</xdr:col>
      <xdr:colOff>47494</xdr:colOff>
      <xdr:row>7</xdr:row>
      <xdr:rowOff>3835</xdr:rowOff>
    </xdr:from>
    <xdr:ext cx="1510903" cy="34409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CuadroTexto 10">
              <a:extLst>
                <a:ext uri="{FF2B5EF4-FFF2-40B4-BE49-F238E27FC236}">
                  <a16:creationId xmlns:a16="http://schemas.microsoft.com/office/drawing/2014/main" id="{D4E1072F-9149-9864-E7A4-08529118763F}"/>
                </a:ext>
              </a:extLst>
            </xdr:cNvPr>
            <xdr:cNvSpPr txBox="1"/>
          </xdr:nvSpPr>
          <xdr:spPr>
            <a:xfrm>
              <a:off x="10874244" y="1411418"/>
              <a:ext cx="1510903" cy="3440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r>
                    <a:rPr lang="es-MX" sz="1100" b="1" i="1">
                      <a:latin typeface="Cambria Math" panose="02040503050406030204" pitchFamily="18" charset="0"/>
                    </a:rPr>
                    <m:t>𝒓𝒙𝒚</m:t>
                  </m:r>
                  <m:r>
                    <a:rPr lang="es-MX" sz="1100" b="1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s-MX" sz="1100" b="1"/>
                <a:t>0.0347</a:t>
              </a:r>
            </a:p>
          </xdr:txBody>
        </xdr:sp>
      </mc:Choice>
      <mc:Fallback xmlns="">
        <xdr:sp macro="" textlink="">
          <xdr:nvSpPr>
            <xdr:cNvPr id="11" name="CuadroTexto 10">
              <a:extLst>
                <a:ext uri="{FF2B5EF4-FFF2-40B4-BE49-F238E27FC236}">
                  <a16:creationId xmlns:a16="http://schemas.microsoft.com/office/drawing/2014/main" id="{D4E1072F-9149-9864-E7A4-08529118763F}"/>
                </a:ext>
              </a:extLst>
            </xdr:cNvPr>
            <xdr:cNvSpPr txBox="1"/>
          </xdr:nvSpPr>
          <xdr:spPr>
            <a:xfrm>
              <a:off x="10874244" y="1411418"/>
              <a:ext cx="1510903" cy="3440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r>
                <a:rPr lang="es-MX" sz="1100" b="1" i="0">
                  <a:latin typeface="Cambria Math" panose="02040503050406030204" pitchFamily="18" charset="0"/>
                </a:rPr>
                <a:t>𝒓𝒙𝒚=</a:t>
              </a:r>
              <a:r>
                <a:rPr lang="es-MX" sz="1100" b="1"/>
                <a:t>0.0347</a:t>
              </a:r>
            </a:p>
          </xdr:txBody>
        </xdr:sp>
      </mc:Fallback>
    </mc:AlternateContent>
    <xdr:clientData/>
  </xdr:oneCellAnchor>
  <xdr:oneCellAnchor>
    <xdr:from>
      <xdr:col>5</xdr:col>
      <xdr:colOff>292892</xdr:colOff>
      <xdr:row>11</xdr:row>
      <xdr:rowOff>214312</xdr:rowOff>
    </xdr:from>
    <xdr:ext cx="147639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072BB157-A06A-C4F3-97C4-94C8674B4F9B}"/>
                </a:ext>
              </a:extLst>
            </xdr:cNvPr>
            <xdr:cNvSpPr txBox="1"/>
          </xdr:nvSpPr>
          <xdr:spPr>
            <a:xfrm>
              <a:off x="5757861" y="2440781"/>
              <a:ext cx="147639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s-MX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MX" sz="110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p>
                        <m:r>
                          <a:rPr lang="es-MX" sz="110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072BB157-A06A-C4F3-97C4-94C8674B4F9B}"/>
                </a:ext>
              </a:extLst>
            </xdr:cNvPr>
            <xdr:cNvSpPr txBox="1"/>
          </xdr:nvSpPr>
          <xdr:spPr>
            <a:xfrm>
              <a:off x="5757861" y="2440781"/>
              <a:ext cx="147639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MX" sz="1100" i="0">
                  <a:latin typeface="Cambria Math" panose="02040503050406030204" pitchFamily="18" charset="0"/>
                </a:rPr>
                <a:t>𝑥^2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6</xdr:col>
      <xdr:colOff>245268</xdr:colOff>
      <xdr:row>11</xdr:row>
      <xdr:rowOff>214313</xdr:rowOff>
    </xdr:from>
    <xdr:ext cx="266701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35636779-6E0B-8285-ADD8-3A8607BAD563}"/>
                </a:ext>
              </a:extLst>
            </xdr:cNvPr>
            <xdr:cNvSpPr txBox="1"/>
          </xdr:nvSpPr>
          <xdr:spPr>
            <a:xfrm>
              <a:off x="6472237" y="2440782"/>
              <a:ext cx="266701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s-MX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p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35636779-6E0B-8285-ADD8-3A8607BAD563}"/>
                </a:ext>
              </a:extLst>
            </xdr:cNvPr>
            <xdr:cNvSpPr txBox="1"/>
          </xdr:nvSpPr>
          <xdr:spPr>
            <a:xfrm>
              <a:off x="6472237" y="2440782"/>
              <a:ext cx="266701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MX" sz="1100" b="0" i="0">
                  <a:latin typeface="Cambria Math" panose="02040503050406030204" pitchFamily="18" charset="0"/>
                </a:rPr>
                <a:t>𝑦^2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5</xdr:col>
      <xdr:colOff>345809</xdr:colOff>
      <xdr:row>48</xdr:row>
      <xdr:rowOff>15345</xdr:rowOff>
    </xdr:from>
    <xdr:ext cx="147639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3B4F127B-D147-4743-86EE-0507136495E9}"/>
                </a:ext>
              </a:extLst>
            </xdr:cNvPr>
            <xdr:cNvSpPr txBox="1"/>
          </xdr:nvSpPr>
          <xdr:spPr>
            <a:xfrm>
              <a:off x="5838559" y="9635595"/>
              <a:ext cx="147639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s-MX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MX" sz="110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p>
                        <m:r>
                          <a:rPr lang="es-MX" sz="110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3B4F127B-D147-4743-86EE-0507136495E9}"/>
                </a:ext>
              </a:extLst>
            </xdr:cNvPr>
            <xdr:cNvSpPr txBox="1"/>
          </xdr:nvSpPr>
          <xdr:spPr>
            <a:xfrm>
              <a:off x="5838559" y="9635595"/>
              <a:ext cx="147639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MX" sz="1100" i="0">
                  <a:latin typeface="Cambria Math" panose="02040503050406030204" pitchFamily="18" charset="0"/>
                </a:rPr>
                <a:t>𝑥^2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6</xdr:col>
      <xdr:colOff>308768</xdr:colOff>
      <xdr:row>48</xdr:row>
      <xdr:rowOff>16405</xdr:rowOff>
    </xdr:from>
    <xdr:ext cx="266701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CuadroTexto 12">
              <a:extLst>
                <a:ext uri="{FF2B5EF4-FFF2-40B4-BE49-F238E27FC236}">
                  <a16:creationId xmlns:a16="http://schemas.microsoft.com/office/drawing/2014/main" id="{EC8C135C-223D-407C-8830-56BA887D9FDC}"/>
                </a:ext>
              </a:extLst>
            </xdr:cNvPr>
            <xdr:cNvSpPr txBox="1"/>
          </xdr:nvSpPr>
          <xdr:spPr>
            <a:xfrm>
              <a:off x="6563518" y="9636655"/>
              <a:ext cx="266701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s-MX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p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13" name="CuadroTexto 12">
              <a:extLst>
                <a:ext uri="{FF2B5EF4-FFF2-40B4-BE49-F238E27FC236}">
                  <a16:creationId xmlns:a16="http://schemas.microsoft.com/office/drawing/2014/main" id="{EC8C135C-223D-407C-8830-56BA887D9FDC}"/>
                </a:ext>
              </a:extLst>
            </xdr:cNvPr>
            <xdr:cNvSpPr txBox="1"/>
          </xdr:nvSpPr>
          <xdr:spPr>
            <a:xfrm>
              <a:off x="6563518" y="9636655"/>
              <a:ext cx="266701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MX" sz="1100" b="0" i="0">
                  <a:latin typeface="Cambria Math" panose="02040503050406030204" pitchFamily="18" charset="0"/>
                </a:rPr>
                <a:t>𝑦^2</a:t>
              </a:r>
              <a:endParaRPr lang="es-MX" sz="1100"/>
            </a:p>
          </xdr:txBody>
        </xdr:sp>
      </mc:Fallback>
    </mc:AlternateContent>
    <xdr:clientData/>
  </xdr:oneCellAnchor>
  <xdr:twoCellAnchor>
    <xdr:from>
      <xdr:col>4</xdr:col>
      <xdr:colOff>31749</xdr:colOff>
      <xdr:row>28</xdr:row>
      <xdr:rowOff>25399</xdr:rowOff>
    </xdr:from>
    <xdr:to>
      <xdr:col>8</xdr:col>
      <xdr:colOff>761999</xdr:colOff>
      <xdr:row>42</xdr:row>
      <xdr:rowOff>169333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6B50366C-DE79-D031-9DC4-24270839C6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323850</xdr:colOff>
      <xdr:row>3</xdr:row>
      <xdr:rowOff>33337</xdr:rowOff>
    </xdr:from>
    <xdr:ext cx="180113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7DB30031-EEE2-0BF5-736D-E8219CAFA905}"/>
                </a:ext>
              </a:extLst>
            </xdr:cNvPr>
            <xdr:cNvSpPr txBox="1"/>
          </xdr:nvSpPr>
          <xdr:spPr>
            <a:xfrm>
              <a:off x="4162425" y="604837"/>
              <a:ext cx="180113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s-MX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MX" sz="110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p>
                        <m:r>
                          <a:rPr lang="es-MX" sz="110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7DB30031-EEE2-0BF5-736D-E8219CAFA905}"/>
                </a:ext>
              </a:extLst>
            </xdr:cNvPr>
            <xdr:cNvSpPr txBox="1"/>
          </xdr:nvSpPr>
          <xdr:spPr>
            <a:xfrm>
              <a:off x="4162425" y="604837"/>
              <a:ext cx="180113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100" i="0">
                  <a:latin typeface="Cambria Math" panose="02040503050406030204" pitchFamily="18" charset="0"/>
                </a:rPr>
                <a:t>𝑥^2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5</xdr:col>
      <xdr:colOff>323850</xdr:colOff>
      <xdr:row>3</xdr:row>
      <xdr:rowOff>14287</xdr:rowOff>
    </xdr:from>
    <xdr:ext cx="183127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AE1A31FF-28DE-428A-42DA-9BC23868804C}"/>
                </a:ext>
              </a:extLst>
            </xdr:cNvPr>
            <xdr:cNvSpPr txBox="1"/>
          </xdr:nvSpPr>
          <xdr:spPr>
            <a:xfrm>
              <a:off x="4924425" y="585787"/>
              <a:ext cx="183127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s-MX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  <m:sup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AE1A31FF-28DE-428A-42DA-9BC23868804C}"/>
                </a:ext>
              </a:extLst>
            </xdr:cNvPr>
            <xdr:cNvSpPr txBox="1"/>
          </xdr:nvSpPr>
          <xdr:spPr>
            <a:xfrm>
              <a:off x="4924425" y="585787"/>
              <a:ext cx="183127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100" b="0" i="0">
                  <a:latin typeface="Cambria Math" panose="02040503050406030204" pitchFamily="18" charset="0"/>
                </a:rPr>
                <a:t>𝑦^2</a:t>
              </a:r>
              <a:endParaRPr lang="es-MX" sz="1100"/>
            </a:p>
          </xdr:txBody>
        </xdr:sp>
      </mc:Fallback>
    </mc:AlternateContent>
    <xdr:clientData/>
  </xdr:oneCellAnchor>
  <xdr:twoCellAnchor>
    <xdr:from>
      <xdr:col>0</xdr:col>
      <xdr:colOff>700086</xdr:colOff>
      <xdr:row>40</xdr:row>
      <xdr:rowOff>152397</xdr:rowOff>
    </xdr:from>
    <xdr:to>
      <xdr:col>6</xdr:col>
      <xdr:colOff>809625</xdr:colOff>
      <xdr:row>56</xdr:row>
      <xdr:rowOff>166686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B801A21-A342-7EC0-1B9F-9AA4F30EB3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0</xdr:colOff>
      <xdr:row>22</xdr:row>
      <xdr:rowOff>0</xdr:rowOff>
    </xdr:from>
    <xdr:ext cx="1106091" cy="35137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6F3CFF07-8AEB-4731-A314-B963F1F3A202}"/>
                </a:ext>
              </a:extLst>
            </xdr:cNvPr>
            <xdr:cNvSpPr txBox="1"/>
          </xdr:nvSpPr>
          <xdr:spPr>
            <a:xfrm>
              <a:off x="0" y="4381500"/>
              <a:ext cx="1106091" cy="35137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100" b="0" i="1">
                        <a:latin typeface="Cambria Math" panose="02040503050406030204" pitchFamily="18" charset="0"/>
                      </a:rPr>
                      <m:t>𝑟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𝑐𝑜𝑣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𝑥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𝑌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)</m:t>
                        </m:r>
                      </m:num>
                      <m:den>
                        <m:r>
                          <a:rPr lang="es-MX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𝜎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𝑥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𝜎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𝑦</m:t>
                        </m:r>
                      </m:den>
                    </m:f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6F3CFF07-8AEB-4731-A314-B963F1F3A202}"/>
                </a:ext>
              </a:extLst>
            </xdr:cNvPr>
            <xdr:cNvSpPr txBox="1"/>
          </xdr:nvSpPr>
          <xdr:spPr>
            <a:xfrm>
              <a:off x="0" y="4381500"/>
              <a:ext cx="1106091" cy="35137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MX" sz="1100" b="0" i="0">
                  <a:latin typeface="Cambria Math" panose="02040503050406030204" pitchFamily="18" charset="0"/>
                </a:rPr>
                <a:t>𝑟=  (𝑐𝑜𝑣(𝑥,𝑌))/(</a:t>
              </a:r>
              <a:r>
                <a:rPr lang="es-MX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𝜎𝑥 𝜎𝑦)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0</xdr:col>
      <xdr:colOff>9525</xdr:colOff>
      <xdr:row>24</xdr:row>
      <xdr:rowOff>66675</xdr:rowOff>
    </xdr:from>
    <xdr:ext cx="2169440" cy="4099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77DF13A7-0040-4590-B77B-7C06ACF38A05}"/>
                </a:ext>
              </a:extLst>
            </xdr:cNvPr>
            <xdr:cNvSpPr txBox="1"/>
          </xdr:nvSpPr>
          <xdr:spPr>
            <a:xfrm>
              <a:off x="9525" y="4829175"/>
              <a:ext cx="2169440" cy="409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100" b="0" i="1">
                        <a:latin typeface="Cambria Math" panose="02040503050406030204" pitchFamily="18" charset="0"/>
                      </a:rPr>
                      <m:t>𝑐𝑜𝑣</m:t>
                    </m:r>
                    <m:d>
                      <m:d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𝑥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</m:d>
                    <m:r>
                      <a:rPr lang="es-MX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den>
                    </m:f>
                    <m:nary>
                      <m:naryPr>
                        <m:chr m:val="∑"/>
                        <m:subHide m:val="on"/>
                        <m:supHide m:val="on"/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naryPr>
                      <m:sub/>
                      <m:sup/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𝑥𝑦</m:t>
                        </m:r>
                      </m:e>
                    </m:nary>
                    <m:r>
                      <a:rPr lang="es-MX" sz="1100" b="0" i="1">
                        <a:latin typeface="Cambria Math" panose="02040503050406030204" pitchFamily="18" charset="0"/>
                      </a:rPr>
                      <m:t>−</m:t>
                    </m:r>
                    <m:f>
                      <m:f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den>
                    </m:f>
                    <m:nary>
                      <m:naryPr>
                        <m:chr m:val="∑"/>
                        <m:subHide m:val="on"/>
                        <m:supHide m:val="on"/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naryPr>
                      <m:sub/>
                      <m:sup/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nary>
                    <m:nary>
                      <m:naryPr>
                        <m:chr m:val="∑"/>
                        <m:subHide m:val="on"/>
                        <m:supHide m:val="on"/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naryPr>
                      <m:sub/>
                      <m:sup/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</m:nary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77DF13A7-0040-4590-B77B-7C06ACF38A05}"/>
                </a:ext>
              </a:extLst>
            </xdr:cNvPr>
            <xdr:cNvSpPr txBox="1"/>
          </xdr:nvSpPr>
          <xdr:spPr>
            <a:xfrm>
              <a:off x="9525" y="4829175"/>
              <a:ext cx="2169440" cy="409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MX" sz="1100" b="0" i="0">
                  <a:latin typeface="Cambria Math" panose="02040503050406030204" pitchFamily="18" charset="0"/>
                </a:rPr>
                <a:t>𝑐𝑜𝑣(𝑥,𝑦)=1/𝑛 ∑▒𝑥𝑦−1/𝑛 ∑▒𝑥 ∑▒𝑦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0</xdr:col>
      <xdr:colOff>28575</xdr:colOff>
      <xdr:row>26</xdr:row>
      <xdr:rowOff>161925</xdr:rowOff>
    </xdr:from>
    <xdr:ext cx="1238400" cy="42862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CuadroTexto 8">
              <a:extLst>
                <a:ext uri="{FF2B5EF4-FFF2-40B4-BE49-F238E27FC236}">
                  <a16:creationId xmlns:a16="http://schemas.microsoft.com/office/drawing/2014/main" id="{6B50C739-6CB0-4F51-A613-4F3478BD79E6}"/>
                </a:ext>
              </a:extLst>
            </xdr:cNvPr>
            <xdr:cNvSpPr txBox="1"/>
          </xdr:nvSpPr>
          <xdr:spPr>
            <a:xfrm>
              <a:off x="28575" y="5305425"/>
              <a:ext cx="1238400" cy="4286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sSup>
                    <m:sSupPr>
                      <m:ctrlPr>
                        <a:rPr lang="es-MX" sz="110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s-MX" sz="110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𝜎</m:t>
                      </m:r>
                      <m:r>
                        <a:rPr lang="es-MX" sz="11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𝑥</m:t>
                      </m:r>
                    </m:e>
                    <m:sup>
                      <m:r>
                        <a:rPr lang="es-MX" sz="1100" b="0" i="1">
                          <a:latin typeface="Cambria Math" panose="02040503050406030204" pitchFamily="18" charset="0"/>
                        </a:rPr>
                        <m:t>2</m:t>
                      </m:r>
                    </m:sup>
                  </m:sSup>
                  <m:r>
                    <a:rPr lang="es-MX" sz="1100" b="0" i="1">
                      <a:latin typeface="Cambria Math" panose="02040503050406030204" pitchFamily="18" charset="0"/>
                    </a:rPr>
                    <m:t>= </m:t>
                  </m:r>
                  <m:f>
                    <m:fPr>
                      <m:ctrlPr>
                        <a:rPr lang="es-MX" sz="11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MX" sz="1100" b="0" i="1">
                          <a:latin typeface="Cambria Math" panose="02040503050406030204" pitchFamily="18" charset="0"/>
                        </a:rPr>
                        <m:t>1</m:t>
                      </m:r>
                    </m:num>
                    <m:den>
                      <m:r>
                        <a:rPr lang="es-MX" sz="1100" b="0" i="1">
                          <a:latin typeface="Cambria Math" panose="02040503050406030204" pitchFamily="18" charset="0"/>
                        </a:rPr>
                        <m:t>𝑛</m:t>
                      </m:r>
                    </m:den>
                  </m:f>
                  <m:nary>
                    <m:naryPr>
                      <m:chr m:val="∑"/>
                      <m:subHide m:val="on"/>
                      <m:supHide m:val="on"/>
                      <m:ctrlPr>
                        <a:rPr lang="es-MX" sz="1100" b="0" i="1">
                          <a:latin typeface="Cambria Math" panose="02040503050406030204" pitchFamily="18" charset="0"/>
                        </a:rPr>
                      </m:ctrlPr>
                    </m:naryPr>
                    <m:sub/>
                    <m:sup/>
                    <m:e>
                      <m:sSup>
                        <m:sSupPr>
                          <m:ctrlPr>
                            <a:rPr lang="es-MX" sz="1100" b="0" i="1">
                              <a:latin typeface="Cambria Math" panose="02040503050406030204" pitchFamily="18" charset="0"/>
                            </a:rPr>
                          </m:ctrlPr>
                        </m:sSupPr>
                        <m:e>
                          <m:r>
                            <a:rPr lang="es-MX" sz="1100" b="0" i="1">
                              <a:latin typeface="Cambria Math" panose="02040503050406030204" pitchFamily="18" charset="0"/>
                            </a:rPr>
                            <m:t>𝑥</m:t>
                          </m:r>
                        </m:e>
                        <m:sup>
                          <m:r>
                            <a:rPr lang="es-MX" sz="1100" b="0" i="1">
                              <a:latin typeface="Cambria Math" panose="02040503050406030204" pitchFamily="18" charset="0"/>
                            </a:rPr>
                            <m:t>2</m:t>
                          </m:r>
                        </m:sup>
                      </m:sSup>
                    </m:e>
                  </m:nary>
                  <m:r>
                    <a:rPr lang="es-MX" sz="1100" b="0" i="1">
                      <a:latin typeface="Cambria Math" panose="02040503050406030204" pitchFamily="18" charset="0"/>
                    </a:rPr>
                    <m:t>−</m:t>
                  </m:r>
                  <m:sSup>
                    <m:sSupPr>
                      <m:ctrlPr>
                        <a:rPr lang="es-MX" sz="11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s-MX" sz="1100" b="0" i="1">
                          <a:latin typeface="Cambria Math" panose="02040503050406030204" pitchFamily="18" charset="0"/>
                        </a:rPr>
                        <m:t>𝑥</m:t>
                      </m:r>
                    </m:e>
                    <m:sup>
                      <m:r>
                        <a:rPr lang="es-MX" sz="1100" b="0" i="1">
                          <a:latin typeface="Cambria Math" panose="02040503050406030204" pitchFamily="18" charset="0"/>
                        </a:rPr>
                        <m:t>2</m:t>
                      </m:r>
                    </m:sup>
                  </m:sSup>
                </m:oMath>
              </a14:m>
              <a:r>
                <a:rPr lang="es-MX" sz="1100"/>
                <a:t> </a:t>
              </a:r>
            </a:p>
          </xdr:txBody>
        </xdr:sp>
      </mc:Choice>
      <mc:Fallback xmlns="">
        <xdr:sp macro="" textlink="">
          <xdr:nvSpPr>
            <xdr:cNvPr id="9" name="CuadroTexto 8">
              <a:extLst>
                <a:ext uri="{FF2B5EF4-FFF2-40B4-BE49-F238E27FC236}">
                  <a16:creationId xmlns:a16="http://schemas.microsoft.com/office/drawing/2014/main" id="{6B50C739-6CB0-4F51-A613-4F3478BD79E6}"/>
                </a:ext>
              </a:extLst>
            </xdr:cNvPr>
            <xdr:cNvSpPr txBox="1"/>
          </xdr:nvSpPr>
          <xdr:spPr>
            <a:xfrm>
              <a:off x="28575" y="5305425"/>
              <a:ext cx="1238400" cy="4286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r>
                <a:rPr lang="es-MX" sz="1100" i="0">
                  <a:latin typeface="Cambria Math" panose="02040503050406030204" pitchFamily="18" charset="0"/>
                </a:rPr>
                <a:t>〖</a:t>
              </a:r>
              <a:r>
                <a:rPr lang="es-MX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𝜎</a:t>
              </a:r>
              <a:r>
                <a:rPr lang="es-MX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𝑥〗^</a:t>
              </a:r>
              <a:r>
                <a:rPr lang="es-MX" sz="1100" b="0" i="0">
                  <a:latin typeface="Cambria Math" panose="02040503050406030204" pitchFamily="18" charset="0"/>
                </a:rPr>
                <a:t>2=  1/𝑛 ∑▒𝑥^2 −𝑥^2</a:t>
              </a:r>
              <a:r>
                <a:rPr lang="es-MX" sz="1100"/>
                <a:t> </a:t>
              </a:r>
            </a:p>
          </xdr:txBody>
        </xdr:sp>
      </mc:Fallback>
    </mc:AlternateContent>
    <xdr:clientData/>
  </xdr:oneCellAnchor>
  <xdr:oneCellAnchor>
    <xdr:from>
      <xdr:col>0</xdr:col>
      <xdr:colOff>19050</xdr:colOff>
      <xdr:row>28</xdr:row>
      <xdr:rowOff>47625</xdr:rowOff>
    </xdr:from>
    <xdr:ext cx="1237518" cy="34681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CuadroTexto 9">
              <a:extLst>
                <a:ext uri="{FF2B5EF4-FFF2-40B4-BE49-F238E27FC236}">
                  <a16:creationId xmlns:a16="http://schemas.microsoft.com/office/drawing/2014/main" id="{508817A7-FD28-4F9C-8B85-211D7BAB0239}"/>
                </a:ext>
              </a:extLst>
            </xdr:cNvPr>
            <xdr:cNvSpPr txBox="1"/>
          </xdr:nvSpPr>
          <xdr:spPr>
            <a:xfrm>
              <a:off x="19050" y="5572125"/>
              <a:ext cx="1237518" cy="3468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s-MX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MX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𝜎</m:t>
                        </m:r>
                        <m:r>
                          <a:rPr lang="es-MX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𝑦</m:t>
                        </m:r>
                      </m:e>
                      <m:sup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s-MX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den>
                    </m:f>
                    <m:nary>
                      <m:naryPr>
                        <m:chr m:val="∑"/>
                        <m:subHide m:val="on"/>
                        <m:supHide m:val="on"/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naryPr>
                      <m:sub/>
                      <m:sup/>
                      <m:e>
                        <m:sSup>
                          <m:sSupPr>
                            <m:ctrlPr>
                              <a:rPr lang="es-MX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s-MX" sz="1100" b="0" i="1">
                                <a:latin typeface="Cambria Math" panose="02040503050406030204" pitchFamily="18" charset="0"/>
                              </a:rPr>
                              <m:t>𝑦</m:t>
                            </m:r>
                          </m:e>
                          <m:sup>
                            <m:r>
                              <a:rPr lang="es-MX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sSup>
                          <m:sSupPr>
                            <m:ctrlPr>
                              <a:rPr lang="es-MX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s-MX" sz="1100" b="0" i="1">
                                <a:latin typeface="Cambria Math" panose="02040503050406030204" pitchFamily="18" charset="0"/>
                              </a:rPr>
                              <m:t>𝑦</m:t>
                            </m:r>
                          </m:e>
                          <m:sup>
                            <m:r>
                              <a:rPr lang="es-MX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e>
                    </m:nary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10" name="CuadroTexto 9">
              <a:extLst>
                <a:ext uri="{FF2B5EF4-FFF2-40B4-BE49-F238E27FC236}">
                  <a16:creationId xmlns:a16="http://schemas.microsoft.com/office/drawing/2014/main" id="{508817A7-FD28-4F9C-8B85-211D7BAB0239}"/>
                </a:ext>
              </a:extLst>
            </xdr:cNvPr>
            <xdr:cNvSpPr txBox="1"/>
          </xdr:nvSpPr>
          <xdr:spPr>
            <a:xfrm>
              <a:off x="19050" y="5572125"/>
              <a:ext cx="1237518" cy="3468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s-MX" sz="1100" i="0">
                  <a:latin typeface="Cambria Math" panose="02040503050406030204" pitchFamily="18" charset="0"/>
                </a:rPr>
                <a:t>〖</a:t>
              </a:r>
              <a:r>
                <a:rPr lang="es-MX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𝜎</a:t>
              </a:r>
              <a:r>
                <a:rPr lang="es-MX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𝑦〗^</a:t>
              </a:r>
              <a:r>
                <a:rPr lang="es-MX" sz="1100" b="0" i="0">
                  <a:latin typeface="Cambria Math" panose="02040503050406030204" pitchFamily="18" charset="0"/>
                </a:rPr>
                <a:t>2=1/𝑛 ∑▒〖𝑦^2−𝑦^2 〗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2</xdr:col>
      <xdr:colOff>880214</xdr:colOff>
      <xdr:row>35</xdr:row>
      <xdr:rowOff>39731</xdr:rowOff>
    </xdr:from>
    <xdr:ext cx="887872" cy="3740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38831080-4542-5A5D-DA99-B02269DBA276}"/>
                </a:ext>
              </a:extLst>
            </xdr:cNvPr>
            <xdr:cNvSpPr txBox="1"/>
          </xdr:nvSpPr>
          <xdr:spPr>
            <a:xfrm>
              <a:off x="2393776" y="6889902"/>
              <a:ext cx="887872" cy="3740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MX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𝑥𝑦</m:t>
                        </m:r>
                      </m:sub>
                    </m:sSub>
                    <m:r>
                      <a:rPr lang="es-MX" sz="1100" b="0" i="1">
                        <a:latin typeface="Cambria Math" panose="02040503050406030204" pitchFamily="18" charset="0"/>
                      </a:rPr>
                      <m:t>=</m:t>
                    </m:r>
                    <m:box>
                      <m:box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boxPr>
                      <m:e>
                        <m:argPr>
                          <m:argSz m:val="-1"/>
                        </m:argPr>
                        <m:f>
                          <m:fPr>
                            <m:ctrlPr>
                              <a:rPr lang="es-MX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nary>
                              <m:naryPr>
                                <m:chr m:val="∑"/>
                                <m:subHide m:val="on"/>
                                <m:supHide m:val="on"/>
                                <m:ctrlPr>
                                  <a:rPr lang="es-MX" sz="1100" b="0" i="1">
                                    <a:latin typeface="Cambria Math" panose="02040503050406030204" pitchFamily="18" charset="0"/>
                                  </a:rPr>
                                </m:ctrlPr>
                              </m:naryPr>
                              <m:sub/>
                              <m:sup/>
                              <m:e>
                                <m:r>
                                  <a:rPr lang="es-MX" sz="1100" b="0" i="1">
                                    <a:latin typeface="Cambria Math" panose="02040503050406030204" pitchFamily="18" charset="0"/>
                                  </a:rPr>
                                  <m:t>𝑥𝑦</m:t>
                                </m:r>
                              </m:e>
                            </m:nary>
                          </m:num>
                          <m:den>
                            <m:rad>
                              <m:radPr>
                                <m:degHide m:val="on"/>
                                <m:ctrlPr>
                                  <a:rPr lang="es-MX" sz="1100" b="0" i="1">
                                    <a:latin typeface="Cambria Math" panose="02040503050406030204" pitchFamily="18" charset="0"/>
                                  </a:rPr>
                                </m:ctrlPr>
                              </m:radPr>
                              <m:deg/>
                              <m:e>
                                <m:nary>
                                  <m:naryPr>
                                    <m:chr m:val="∑"/>
                                    <m:subHide m:val="on"/>
                                    <m:supHide m:val="on"/>
                                    <m:ctrlPr>
                                      <a:rPr lang="es-MX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naryPr>
                                  <m:sub/>
                                  <m:sup/>
                                  <m:e>
                                    <m:sSup>
                                      <m:sSupPr>
                                        <m:ctrlPr>
                                          <a:rPr lang="es-MX" sz="1100" b="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pPr>
                                      <m:e>
                                        <m:r>
                                          <a:rPr lang="es-MX" sz="1100" b="0" i="1">
                                            <a:latin typeface="Cambria Math" panose="02040503050406030204" pitchFamily="18" charset="0"/>
                                          </a:rPr>
                                          <m:t>𝑥</m:t>
                                        </m:r>
                                      </m:e>
                                      <m:sup>
                                        <m:r>
                                          <a:rPr lang="es-MX" sz="1100" b="0" i="1">
                                            <a:latin typeface="Cambria Math" panose="02040503050406030204" pitchFamily="18" charset="0"/>
                                          </a:rPr>
                                          <m:t>2</m:t>
                                        </m:r>
                                      </m:sup>
                                    </m:sSup>
                                    <m:rad>
                                      <m:radPr>
                                        <m:degHide m:val="on"/>
                                        <m:ctrlPr>
                                          <a:rPr lang="es-MX" sz="1100" b="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radPr>
                                      <m:deg/>
                                      <m:e>
                                        <m:sSup>
                                          <m:sSupPr>
                                            <m:ctrlPr>
                                              <a:rPr lang="es-MX" sz="1100" b="0" i="1"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sSupPr>
                                          <m:e>
                                            <m:r>
                                              <a:rPr lang="es-MX" sz="1100" b="0" i="1">
                                                <a:latin typeface="Cambria Math" panose="02040503050406030204" pitchFamily="18" charset="0"/>
                                              </a:rPr>
                                              <m:t>𝑦</m:t>
                                            </m:r>
                                          </m:e>
                                          <m:sup>
                                            <m:r>
                                              <a:rPr lang="es-MX" sz="1100" b="0" i="1">
                                                <a:latin typeface="Cambria Math" panose="02040503050406030204" pitchFamily="18" charset="0"/>
                                              </a:rPr>
                                              <m:t>2</m:t>
                                            </m:r>
                                          </m:sup>
                                        </m:sSup>
                                      </m:e>
                                    </m:rad>
                                  </m:e>
                                </m:nary>
                              </m:e>
                            </m:rad>
                          </m:den>
                        </m:f>
                      </m:e>
                    </m:box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38831080-4542-5A5D-DA99-B02269DBA276}"/>
                </a:ext>
              </a:extLst>
            </xdr:cNvPr>
            <xdr:cNvSpPr txBox="1"/>
          </xdr:nvSpPr>
          <xdr:spPr>
            <a:xfrm>
              <a:off x="2393776" y="6889902"/>
              <a:ext cx="887872" cy="3740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100" b="0" i="0">
                  <a:latin typeface="Cambria Math" panose="02040503050406030204" pitchFamily="18" charset="0"/>
                </a:rPr>
                <a:t>𝑟_𝑥𝑦=□(64&amp;(∑▒𝑥𝑦)/√(∑▒〖𝑥^2 √(𝑦^2 )〗))</a:t>
              </a:r>
              <a:endParaRPr lang="es-MX" sz="1100"/>
            </a:p>
          </xdr:txBody>
        </xdr:sp>
      </mc:Fallback>
    </mc:AlternateContent>
    <xdr:clientData/>
  </xdr:oneCellAnchor>
  <xdr:oneCellAnchor>
    <xdr:from>
      <xdr:col>3</xdr:col>
      <xdr:colOff>846495</xdr:colOff>
      <xdr:row>35</xdr:row>
      <xdr:rowOff>49600</xdr:rowOff>
    </xdr:from>
    <xdr:ext cx="2028761" cy="29302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CuadroTexto 12">
              <a:extLst>
                <a:ext uri="{FF2B5EF4-FFF2-40B4-BE49-F238E27FC236}">
                  <a16:creationId xmlns:a16="http://schemas.microsoft.com/office/drawing/2014/main" id="{CB4A8722-D756-95ED-B1A9-ED079B873525}"/>
                </a:ext>
              </a:extLst>
            </xdr:cNvPr>
            <xdr:cNvSpPr txBox="1"/>
          </xdr:nvSpPr>
          <xdr:spPr>
            <a:xfrm>
              <a:off x="3712499" y="6938216"/>
              <a:ext cx="2028761" cy="2930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MX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𝑥𝑦</m:t>
                        </m:r>
                      </m:sub>
                    </m:sSub>
                    <m:r>
                      <a:rPr lang="es-MX" sz="1100" b="0" i="1">
                        <a:latin typeface="Cambria Math" panose="02040503050406030204" pitchFamily="18" charset="0"/>
                      </a:rPr>
                      <m:t>=</m:t>
                    </m:r>
                    <m:box>
                      <m:box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boxPr>
                      <m:e>
                        <m:argPr>
                          <m:argSz m:val="-1"/>
                        </m:argPr>
                        <m:f>
                          <m:fPr>
                            <m:ctrlPr>
                              <a:rPr lang="es-MX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m:rPr>
                                <m:nor/>
                              </m:rPr>
                              <a:rPr lang="es-MX" sz="1100" b="0" i="0" u="none" strike="noStrike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1189750000</m:t>
                            </m:r>
                            <m:r>
                              <m:rPr>
                                <m:nor/>
                              </m:rPr>
                              <a:rPr lang="es-MX"/>
                              <m:t> </m:t>
                            </m:r>
                          </m:num>
                          <m:den>
                            <m:rad>
                              <m:radPr>
                                <m:degHide m:val="on"/>
                                <m:ctrlPr>
                                  <a:rPr lang="es-MX" sz="1100" b="0" i="1">
                                    <a:latin typeface="Cambria Math" panose="02040503050406030204" pitchFamily="18" charset="0"/>
                                  </a:rPr>
                                </m:ctrlPr>
                              </m:radPr>
                              <m:deg/>
                              <m:e>
                                <m:r>
                                  <m:rPr>
                                    <m:nor/>
                                  </m:rPr>
                                  <a:rPr lang="es-MX" sz="1100" b="0" i="0" u="none" strike="noStrike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63705000</m:t>
                                </m:r>
                                <m:r>
                                  <m:rPr>
                                    <m:nor/>
                                  </m:rPr>
                                  <a:rPr lang="es-MX"/>
                                  <m:t> </m:t>
                                </m:r>
                              </m:e>
                            </m:rad>
                            <m:rad>
                              <m:radPr>
                                <m:degHide m:val="on"/>
                                <m:ctrlPr>
                                  <a:rPr lang="es-MX" sz="1100" b="0" i="1">
                                    <a:latin typeface="Cambria Math" panose="02040503050406030204" pitchFamily="18" charset="0"/>
                                  </a:rPr>
                                </m:ctrlPr>
                              </m:radPr>
                              <m:deg/>
                              <m:e>
                                <m:r>
                                  <m:rPr>
                                    <m:nor/>
                                  </m:rPr>
                                  <a:rPr lang="es-MX" sz="1100" b="0" i="0" u="none" strike="noStrike">
                                    <a:solidFill>
                                      <a:schemeClr val="tx1"/>
                                    </a:solidFill>
                                    <a:effectLst/>
                                    <a:latin typeface="+mn-lt"/>
                                    <a:ea typeface="+mn-ea"/>
                                    <a:cs typeface="+mn-cs"/>
                                  </a:rPr>
                                  <m:t>25125000000</m:t>
                                </m:r>
                                <m:r>
                                  <m:rPr>
                                    <m:nor/>
                                  </m:rPr>
                                  <a:rPr lang="es-MX"/>
                                  <m:t> </m:t>
                                </m:r>
                              </m:e>
                            </m:rad>
                          </m:den>
                        </m:f>
                      </m:e>
                    </m:box>
                  </m:oMath>
                </m:oMathPara>
              </a14:m>
              <a:endParaRPr lang="es-MX" sz="1100"/>
            </a:p>
          </xdr:txBody>
        </xdr:sp>
      </mc:Choice>
      <mc:Fallback xmlns="">
        <xdr:sp macro="" textlink="">
          <xdr:nvSpPr>
            <xdr:cNvPr id="13" name="CuadroTexto 12">
              <a:extLst>
                <a:ext uri="{FF2B5EF4-FFF2-40B4-BE49-F238E27FC236}">
                  <a16:creationId xmlns:a16="http://schemas.microsoft.com/office/drawing/2014/main" id="{CB4A8722-D756-95ED-B1A9-ED079B873525}"/>
                </a:ext>
              </a:extLst>
            </xdr:cNvPr>
            <xdr:cNvSpPr txBox="1"/>
          </xdr:nvSpPr>
          <xdr:spPr>
            <a:xfrm>
              <a:off x="3712499" y="6938216"/>
              <a:ext cx="2028761" cy="2930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100" b="0" i="0">
                  <a:latin typeface="Cambria Math" panose="02040503050406030204" pitchFamily="18" charset="0"/>
                </a:rPr>
                <a:t>𝑟_𝑥𝑦=□(64&amp;</a:t>
              </a:r>
              <a:r>
                <a:rPr lang="es-MX" sz="1100" b="0" i="0" u="none" strike="noStrike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"1189750000</a:t>
              </a:r>
              <a:r>
                <a:rPr lang="es-MX" i="0"/>
                <a:t> </a:t>
              </a:r>
              <a:r>
                <a:rPr lang="es-MX" sz="1100" b="0" i="0">
                  <a:latin typeface="Cambria Math" panose="02040503050406030204" pitchFamily="18" charset="0"/>
                </a:rPr>
                <a:t>" /(√(</a:t>
              </a:r>
              <a:r>
                <a:rPr lang="es-MX" sz="1100" b="0" i="0" u="none" strike="noStrike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"63705000</a:t>
              </a:r>
              <a:r>
                <a:rPr lang="es-MX" i="0"/>
                <a:t> </a:t>
              </a:r>
              <a:r>
                <a:rPr lang="es-MX" sz="1100" b="0" i="0">
                  <a:latin typeface="Cambria Math" panose="02040503050406030204" pitchFamily="18" charset="0"/>
                </a:rPr>
                <a:t>" ) √(</a:t>
              </a:r>
              <a:r>
                <a:rPr lang="es-MX" sz="1100" b="0" i="0" u="none" strike="noStrike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"25125000000</a:t>
              </a:r>
              <a:r>
                <a:rPr lang="es-MX" i="0"/>
                <a:t> </a:t>
              </a:r>
              <a:r>
                <a:rPr lang="es-MX" sz="1100" b="0" i="0">
                  <a:latin typeface="Cambria Math" panose="02040503050406030204" pitchFamily="18" charset="0"/>
                </a:rPr>
                <a:t>" )))</a:t>
              </a:r>
              <a:endParaRPr lang="es-MX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2C513DBE-0A8D-4BDB-AF43-37258F8C1421}">
  <we:reference id="wa104380955" version="3.16.2.1" store="es-MX" storeType="OMEX"/>
  <we:alternateReferences>
    <we:reference id="WA104380955" version="3.16.2.1" store="WA104380955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28414659-99EB-4C35-8CCE-5ADCA662D09D}">
  <we:reference id="wa200000019" version="23.1.0.0" store="es-MX" storeType="OMEX"/>
  <we:alternateReferences>
    <we:reference id="wa200000019" version="23.1.0.0" store="WA200000019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A64BF-9587-44F5-8288-47F0AE24C155}">
  <dimension ref="A1:R82"/>
  <sheetViews>
    <sheetView tabSelected="1" zoomScaleNormal="100" workbookViewId="0">
      <selection activeCell="G63" sqref="G63"/>
    </sheetView>
  </sheetViews>
  <sheetFormatPr baseColWidth="10" defaultRowHeight="15" x14ac:dyDescent="0.25"/>
  <cols>
    <col min="1" max="1" width="17.7109375" customWidth="1"/>
    <col min="2" max="2" width="17.5703125" customWidth="1"/>
    <col min="3" max="3" width="20.5703125" customWidth="1"/>
    <col min="4" max="4" width="11.42578125" hidden="1" customWidth="1"/>
    <col min="5" max="5" width="26.28515625" customWidth="1"/>
    <col min="10" max="10" width="15.7109375" customWidth="1"/>
  </cols>
  <sheetData>
    <row r="1" spans="1:18" ht="15.75" x14ac:dyDescent="0.25">
      <c r="A1" s="2" t="s">
        <v>0</v>
      </c>
      <c r="B1" s="2"/>
      <c r="C1" s="2"/>
      <c r="D1" s="2"/>
      <c r="E1" s="2"/>
      <c r="F1" s="2"/>
      <c r="G1" s="2"/>
      <c r="H1" s="2" t="s">
        <v>22</v>
      </c>
      <c r="I1" s="7"/>
      <c r="J1" s="7"/>
      <c r="K1" s="7"/>
      <c r="L1" s="7"/>
    </row>
    <row r="2" spans="1:18" ht="15.75" x14ac:dyDescent="0.25">
      <c r="A2" s="2" t="s">
        <v>1</v>
      </c>
      <c r="B2" s="2"/>
      <c r="C2" s="2"/>
      <c r="D2" s="2"/>
      <c r="E2" s="2"/>
      <c r="F2" s="2"/>
      <c r="G2" s="2"/>
      <c r="H2" s="1" t="s">
        <v>42</v>
      </c>
    </row>
    <row r="3" spans="1:18" ht="15.75" x14ac:dyDescent="0.25">
      <c r="A3" s="2" t="s">
        <v>2</v>
      </c>
      <c r="B3" s="2"/>
      <c r="C3" s="2"/>
      <c r="D3" s="2"/>
      <c r="E3" s="2"/>
      <c r="F3" s="2"/>
      <c r="G3" s="2"/>
    </row>
    <row r="4" spans="1:18" ht="15.75" x14ac:dyDescent="0.25">
      <c r="A4" s="1"/>
      <c r="B4" s="1"/>
      <c r="C4" s="1"/>
      <c r="D4" s="1"/>
      <c r="E4" s="1"/>
      <c r="F4" s="1"/>
      <c r="G4" s="2"/>
      <c r="H4" s="12" t="s">
        <v>69</v>
      </c>
      <c r="I4" s="12">
        <f>AVERAGE(C13:C22)</f>
        <v>13.9</v>
      </c>
      <c r="J4" s="9" t="s">
        <v>71</v>
      </c>
      <c r="K4" s="9">
        <f>_xlfn.VAR.S(C13:C22)</f>
        <v>9.4333333333333442</v>
      </c>
      <c r="L4" s="12"/>
    </row>
    <row r="5" spans="1:18" ht="15.75" x14ac:dyDescent="0.25">
      <c r="A5" s="1" t="s">
        <v>3</v>
      </c>
      <c r="B5" s="1"/>
      <c r="C5" s="1"/>
      <c r="D5" s="1"/>
      <c r="E5" s="1"/>
      <c r="F5" s="1"/>
      <c r="G5" s="2"/>
      <c r="H5" s="12" t="s">
        <v>70</v>
      </c>
      <c r="I5" s="12">
        <f>AVERAGE(B13:B22)</f>
        <v>216.4</v>
      </c>
      <c r="J5" s="9"/>
      <c r="K5" s="9"/>
      <c r="L5" s="12"/>
    </row>
    <row r="6" spans="1:18" ht="15.75" x14ac:dyDescent="0.25">
      <c r="A6" s="1" t="s">
        <v>4</v>
      </c>
      <c r="B6" s="1"/>
      <c r="C6" s="1"/>
      <c r="D6" s="1"/>
      <c r="E6" s="1"/>
      <c r="F6" s="1"/>
      <c r="G6" s="2"/>
      <c r="H6" s="12"/>
      <c r="I6" s="12"/>
      <c r="J6" s="9" t="s">
        <v>56</v>
      </c>
      <c r="K6" s="9">
        <v>0.18627936010000001</v>
      </c>
      <c r="L6" s="12"/>
    </row>
    <row r="7" spans="1:18" ht="15.75" x14ac:dyDescent="0.25">
      <c r="A7" s="1"/>
      <c r="B7" s="1"/>
      <c r="C7" s="1"/>
      <c r="D7" s="1"/>
      <c r="E7" s="1"/>
      <c r="F7" s="1"/>
      <c r="G7" s="2"/>
      <c r="H7" s="12" t="s">
        <v>52</v>
      </c>
      <c r="I7" s="12">
        <f>_xlfn.STDEV.S(C13:C22)</f>
        <v>3.0713731999438534</v>
      </c>
      <c r="J7" s="9"/>
      <c r="K7" s="9"/>
      <c r="L7" s="12"/>
    </row>
    <row r="8" spans="1:18" ht="15.75" x14ac:dyDescent="0.25">
      <c r="A8" s="1" t="s">
        <v>5</v>
      </c>
      <c r="B8" s="1"/>
      <c r="C8" s="1"/>
      <c r="D8" s="1"/>
      <c r="E8" s="1"/>
      <c r="F8" s="1"/>
      <c r="G8" s="2"/>
      <c r="H8" s="12" t="s">
        <v>53</v>
      </c>
      <c r="I8" s="12">
        <f>_xlfn.STDEV.S(B13:B22)</f>
        <v>88.638090633266202</v>
      </c>
      <c r="J8" s="11"/>
      <c r="K8" s="9"/>
      <c r="L8" s="12"/>
    </row>
    <row r="9" spans="1:18" ht="15.75" x14ac:dyDescent="0.25">
      <c r="A9" s="1" t="s">
        <v>6</v>
      </c>
      <c r="B9" s="1"/>
      <c r="C9" s="1" t="s">
        <v>38</v>
      </c>
      <c r="D9" s="1"/>
      <c r="E9" s="1"/>
      <c r="F9" s="1"/>
      <c r="G9" s="2"/>
      <c r="H9" s="12"/>
      <c r="I9" s="12"/>
      <c r="J9" s="11"/>
      <c r="K9" s="9"/>
      <c r="L9" s="12"/>
    </row>
    <row r="10" spans="1:18" ht="15.75" x14ac:dyDescent="0.25">
      <c r="A10" s="1" t="s">
        <v>7</v>
      </c>
      <c r="B10" s="1"/>
      <c r="C10" s="1" t="s">
        <v>39</v>
      </c>
      <c r="D10" s="1"/>
      <c r="E10" s="1"/>
      <c r="F10" s="1"/>
      <c r="G10" s="2"/>
      <c r="H10" s="12" t="s">
        <v>54</v>
      </c>
      <c r="I10" s="12">
        <f>_xlfn.STDEV.S(C13:C22,B13:B22)</f>
        <v>120.48728913086751</v>
      </c>
      <c r="J10" s="12"/>
      <c r="K10" s="12"/>
      <c r="L10" s="12"/>
      <c r="N10" s="1"/>
      <c r="O10" s="1"/>
      <c r="P10" s="1"/>
      <c r="Q10" s="1"/>
      <c r="R10" s="1"/>
    </row>
    <row r="11" spans="1:18" ht="15.75" x14ac:dyDescent="0.25">
      <c r="B11" s="6" t="s">
        <v>41</v>
      </c>
      <c r="C11" s="6" t="s">
        <v>40</v>
      </c>
      <c r="D11" s="6"/>
      <c r="E11" s="6" t="s">
        <v>36</v>
      </c>
      <c r="N11" s="1"/>
      <c r="O11" s="1"/>
      <c r="P11" s="1"/>
      <c r="Q11" s="1"/>
      <c r="R11" s="1"/>
    </row>
    <row r="12" spans="1:18" ht="30" customHeight="1" x14ac:dyDescent="0.25">
      <c r="A12" s="3" t="s">
        <v>8</v>
      </c>
      <c r="B12" s="3" t="s">
        <v>9</v>
      </c>
      <c r="C12" s="3" t="s">
        <v>10</v>
      </c>
      <c r="D12" s="3"/>
      <c r="E12" s="3" t="s">
        <v>11</v>
      </c>
      <c r="F12" s="4"/>
      <c r="H12" s="6" t="s">
        <v>43</v>
      </c>
    </row>
    <row r="13" spans="1:18" ht="15.75" x14ac:dyDescent="0.25">
      <c r="A13" s="2" t="s">
        <v>12</v>
      </c>
      <c r="B13" s="5">
        <v>75</v>
      </c>
      <c r="C13" s="5">
        <v>12</v>
      </c>
      <c r="D13" s="5"/>
      <c r="E13" s="5">
        <v>8</v>
      </c>
      <c r="F13" s="5">
        <f t="shared" ref="F13:F22" si="0">C13*C13</f>
        <v>144</v>
      </c>
      <c r="G13" s="5">
        <f t="shared" ref="G13:G21" si="1">B13*B13</f>
        <v>5625</v>
      </c>
      <c r="H13" s="5">
        <f>C13*B13</f>
        <v>900</v>
      </c>
      <c r="K13" s="9"/>
      <c r="L13" s="12"/>
    </row>
    <row r="14" spans="1:18" ht="15.75" x14ac:dyDescent="0.25">
      <c r="A14" s="2" t="s">
        <v>13</v>
      </c>
      <c r="B14" s="5">
        <v>241</v>
      </c>
      <c r="C14" s="5">
        <v>14</v>
      </c>
      <c r="D14" s="5"/>
      <c r="E14" s="5">
        <v>10</v>
      </c>
      <c r="F14" s="5">
        <f t="shared" si="0"/>
        <v>196</v>
      </c>
      <c r="G14" s="5">
        <f t="shared" si="1"/>
        <v>58081</v>
      </c>
      <c r="H14" s="5">
        <f t="shared" ref="H14:H22" si="2">C14*B14</f>
        <v>3374</v>
      </c>
      <c r="K14" s="9"/>
      <c r="L14" s="12"/>
    </row>
    <row r="15" spans="1:18" ht="15.75" x14ac:dyDescent="0.25">
      <c r="A15" s="2" t="s">
        <v>14</v>
      </c>
      <c r="B15" s="5">
        <v>310</v>
      </c>
      <c r="C15" s="5">
        <v>16</v>
      </c>
      <c r="D15" s="5"/>
      <c r="E15" s="5">
        <v>9</v>
      </c>
      <c r="F15" s="5">
        <f t="shared" si="0"/>
        <v>256</v>
      </c>
      <c r="G15" s="5">
        <f t="shared" si="1"/>
        <v>96100</v>
      </c>
      <c r="H15" s="5">
        <f t="shared" si="2"/>
        <v>4960</v>
      </c>
    </row>
    <row r="16" spans="1:18" ht="15.75" x14ac:dyDescent="0.25">
      <c r="A16" s="2" t="s">
        <v>15</v>
      </c>
      <c r="B16" s="5">
        <v>50</v>
      </c>
      <c r="C16" s="5">
        <v>11</v>
      </c>
      <c r="D16" s="5"/>
      <c r="E16" s="5">
        <v>15</v>
      </c>
      <c r="F16" s="5">
        <f t="shared" si="0"/>
        <v>121</v>
      </c>
      <c r="G16" s="5">
        <f t="shared" si="1"/>
        <v>2500</v>
      </c>
      <c r="H16" s="5">
        <f t="shared" si="2"/>
        <v>550</v>
      </c>
      <c r="K16" s="9"/>
    </row>
    <row r="17" spans="1:11" ht="15.75" x14ac:dyDescent="0.25">
      <c r="A17" s="2" t="s">
        <v>16</v>
      </c>
      <c r="B17" s="5">
        <v>250</v>
      </c>
      <c r="C17" s="5">
        <v>12</v>
      </c>
      <c r="D17" s="5"/>
      <c r="E17" s="5">
        <v>20</v>
      </c>
      <c r="F17" s="5">
        <f t="shared" si="0"/>
        <v>144</v>
      </c>
      <c r="G17" s="5">
        <f t="shared" si="1"/>
        <v>62500</v>
      </c>
      <c r="H17" s="5">
        <f t="shared" si="2"/>
        <v>3000</v>
      </c>
      <c r="K17" s="9"/>
    </row>
    <row r="18" spans="1:11" ht="15.75" x14ac:dyDescent="0.25">
      <c r="A18" s="2" t="s">
        <v>17</v>
      </c>
      <c r="B18" s="5">
        <v>250</v>
      </c>
      <c r="C18" s="5">
        <v>16</v>
      </c>
      <c r="D18" s="5"/>
      <c r="E18" s="5">
        <v>20</v>
      </c>
      <c r="F18" s="5">
        <f t="shared" si="0"/>
        <v>256</v>
      </c>
      <c r="G18" s="5">
        <f t="shared" si="1"/>
        <v>62500</v>
      </c>
      <c r="H18" s="5">
        <f t="shared" si="2"/>
        <v>4000</v>
      </c>
    </row>
    <row r="19" spans="1:11" ht="15.75" x14ac:dyDescent="0.25">
      <c r="A19" s="2" t="s">
        <v>18</v>
      </c>
      <c r="B19" s="5">
        <v>259</v>
      </c>
      <c r="C19" s="5">
        <v>16</v>
      </c>
      <c r="D19" s="5"/>
      <c r="E19" s="5">
        <v>5</v>
      </c>
      <c r="F19" s="5">
        <f t="shared" si="0"/>
        <v>256</v>
      </c>
      <c r="G19" s="5">
        <f t="shared" si="1"/>
        <v>67081</v>
      </c>
      <c r="H19" s="5">
        <f t="shared" si="2"/>
        <v>4144</v>
      </c>
    </row>
    <row r="20" spans="1:11" ht="15.75" x14ac:dyDescent="0.25">
      <c r="A20" s="2" t="s">
        <v>19</v>
      </c>
      <c r="B20" s="5">
        <v>302</v>
      </c>
      <c r="C20" s="5">
        <v>8</v>
      </c>
      <c r="D20" s="5"/>
      <c r="E20" s="5">
        <v>10</v>
      </c>
      <c r="F20" s="5">
        <f t="shared" si="0"/>
        <v>64</v>
      </c>
      <c r="G20" s="5">
        <f t="shared" si="1"/>
        <v>91204</v>
      </c>
      <c r="H20" s="5">
        <f t="shared" si="2"/>
        <v>2416</v>
      </c>
    </row>
    <row r="21" spans="1:11" ht="15.75" x14ac:dyDescent="0.25">
      <c r="A21" s="2" t="s">
        <v>20</v>
      </c>
      <c r="B21" s="5">
        <v>247</v>
      </c>
      <c r="C21" s="5">
        <v>16</v>
      </c>
      <c r="D21" s="5"/>
      <c r="E21" s="5">
        <v>15</v>
      </c>
      <c r="F21" s="5">
        <f t="shared" si="0"/>
        <v>256</v>
      </c>
      <c r="G21" s="5">
        <f t="shared" si="1"/>
        <v>61009</v>
      </c>
      <c r="H21" s="5">
        <f t="shared" si="2"/>
        <v>3952</v>
      </c>
    </row>
    <row r="22" spans="1:11" ht="15.75" x14ac:dyDescent="0.25">
      <c r="A22" s="2" t="s">
        <v>21</v>
      </c>
      <c r="B22" s="5">
        <v>180</v>
      </c>
      <c r="C22" s="5">
        <v>18</v>
      </c>
      <c r="D22" s="5"/>
      <c r="E22" s="5">
        <v>10</v>
      </c>
      <c r="F22" s="5">
        <f t="shared" si="0"/>
        <v>324</v>
      </c>
      <c r="G22" s="5">
        <f>SUM(B22*B22)</f>
        <v>32400</v>
      </c>
      <c r="H22" s="5">
        <f t="shared" si="2"/>
        <v>3240</v>
      </c>
    </row>
    <row r="23" spans="1:11" ht="15.75" x14ac:dyDescent="0.25">
      <c r="A23" s="2" t="s">
        <v>35</v>
      </c>
      <c r="B23" s="5">
        <f>SUM(B13:B22)</f>
        <v>2164</v>
      </c>
      <c r="C23" s="5">
        <f>SUM(C13:C22)</f>
        <v>139</v>
      </c>
      <c r="D23" s="1"/>
      <c r="E23" s="5">
        <f>SUM(E13:E22)</f>
        <v>122</v>
      </c>
      <c r="F23" s="5">
        <f>SUM(F13:F22)</f>
        <v>2017</v>
      </c>
      <c r="G23" s="5">
        <f>SUM(G13:G22)</f>
        <v>539000</v>
      </c>
      <c r="H23" s="5">
        <f>SUM(H13:H22)</f>
        <v>30536</v>
      </c>
    </row>
    <row r="24" spans="1:11" ht="15.75" x14ac:dyDescent="0.25">
      <c r="A24" s="2"/>
      <c r="B24" s="1"/>
      <c r="C24" s="1"/>
      <c r="D24" s="1"/>
      <c r="E24" s="1"/>
      <c r="F24" s="1"/>
      <c r="G24" s="1"/>
      <c r="H24" s="1"/>
    </row>
    <row r="26" spans="1:11" ht="15.75" x14ac:dyDescent="0.25">
      <c r="A26" s="2" t="s">
        <v>23</v>
      </c>
      <c r="B26" s="4"/>
      <c r="C26" s="4"/>
    </row>
    <row r="27" spans="1:11" x14ac:dyDescent="0.25">
      <c r="A27" s="4" t="s">
        <v>24</v>
      </c>
      <c r="B27" s="4"/>
      <c r="C27" s="4"/>
    </row>
    <row r="29" spans="1:11" x14ac:dyDescent="0.25">
      <c r="A29" s="3" t="s">
        <v>9</v>
      </c>
      <c r="B29" s="3" t="s">
        <v>10</v>
      </c>
    </row>
    <row r="30" spans="1:11" x14ac:dyDescent="0.25">
      <c r="A30" s="6">
        <v>75</v>
      </c>
      <c r="B30" s="6">
        <v>12</v>
      </c>
    </row>
    <row r="31" spans="1:11" x14ac:dyDescent="0.25">
      <c r="A31" s="6">
        <v>241</v>
      </c>
      <c r="B31" s="6">
        <v>14</v>
      </c>
    </row>
    <row r="32" spans="1:11" x14ac:dyDescent="0.25">
      <c r="A32" s="6">
        <v>310</v>
      </c>
      <c r="B32" s="6">
        <v>16</v>
      </c>
    </row>
    <row r="33" spans="1:8" x14ac:dyDescent="0.25">
      <c r="A33" s="6">
        <v>50</v>
      </c>
      <c r="B33" s="6">
        <v>11</v>
      </c>
    </row>
    <row r="34" spans="1:8" x14ac:dyDescent="0.25">
      <c r="A34" s="6">
        <v>250</v>
      </c>
      <c r="B34" s="6">
        <v>12</v>
      </c>
    </row>
    <row r="35" spans="1:8" x14ac:dyDescent="0.25">
      <c r="A35" s="6">
        <v>250</v>
      </c>
      <c r="B35" s="6">
        <v>16</v>
      </c>
    </row>
    <row r="36" spans="1:8" x14ac:dyDescent="0.25">
      <c r="A36" s="6">
        <v>259</v>
      </c>
      <c r="B36" s="6">
        <v>16</v>
      </c>
    </row>
    <row r="37" spans="1:8" x14ac:dyDescent="0.25">
      <c r="A37" s="6">
        <v>302</v>
      </c>
      <c r="B37" s="6">
        <v>8</v>
      </c>
    </row>
    <row r="38" spans="1:8" x14ac:dyDescent="0.25">
      <c r="A38" s="6">
        <v>247</v>
      </c>
      <c r="B38" s="6">
        <v>16</v>
      </c>
    </row>
    <row r="39" spans="1:8" x14ac:dyDescent="0.25">
      <c r="A39" s="6">
        <v>180</v>
      </c>
      <c r="B39" s="6">
        <v>18</v>
      </c>
    </row>
    <row r="40" spans="1:8" x14ac:dyDescent="0.25">
      <c r="B40" s="8"/>
    </row>
    <row r="45" spans="1:8" ht="15.75" x14ac:dyDescent="0.25">
      <c r="A45" s="1" t="s">
        <v>25</v>
      </c>
      <c r="B45" s="1"/>
      <c r="C45" s="1"/>
      <c r="D45" s="1"/>
      <c r="E45" s="1"/>
      <c r="F45" s="1"/>
      <c r="G45" s="1"/>
      <c r="H45" s="1"/>
    </row>
    <row r="46" spans="1:8" ht="15.75" x14ac:dyDescent="0.25">
      <c r="A46" s="1" t="s">
        <v>27</v>
      </c>
      <c r="B46" s="1"/>
      <c r="C46" s="1"/>
      <c r="D46" s="1"/>
      <c r="E46" s="1"/>
      <c r="F46" s="1"/>
      <c r="G46" s="1"/>
      <c r="H46" s="1"/>
    </row>
    <row r="47" spans="1:8" ht="15.75" x14ac:dyDescent="0.25">
      <c r="A47" s="1" t="s">
        <v>26</v>
      </c>
      <c r="B47" s="1"/>
      <c r="C47" s="1"/>
      <c r="D47" s="1"/>
      <c r="E47" s="1"/>
      <c r="F47" s="1"/>
      <c r="G47" s="1"/>
      <c r="H47" s="1"/>
    </row>
    <row r="48" spans="1:8" x14ac:dyDescent="0.25">
      <c r="B48" s="6" t="s">
        <v>41</v>
      </c>
      <c r="C48" s="6" t="s">
        <v>48</v>
      </c>
    </row>
    <row r="49" spans="1:18" x14ac:dyDescent="0.25">
      <c r="A49" s="3" t="s">
        <v>8</v>
      </c>
      <c r="B49" s="3" t="s">
        <v>9</v>
      </c>
      <c r="C49" s="3" t="s">
        <v>10</v>
      </c>
      <c r="D49" s="3"/>
      <c r="E49" s="3" t="s">
        <v>11</v>
      </c>
      <c r="F49" s="4"/>
      <c r="H49" s="6" t="s">
        <v>43</v>
      </c>
      <c r="J49" t="s">
        <v>72</v>
      </c>
    </row>
    <row r="50" spans="1:18" ht="16.5" thickBot="1" x14ac:dyDescent="0.3">
      <c r="A50" s="2" t="s">
        <v>12</v>
      </c>
      <c r="B50" s="5">
        <v>75</v>
      </c>
      <c r="C50" s="5">
        <v>12</v>
      </c>
      <c r="D50" s="5"/>
      <c r="E50" s="5">
        <v>8</v>
      </c>
      <c r="F50" s="5">
        <f t="shared" ref="F50:F59" si="3">C50*C50</f>
        <v>144</v>
      </c>
      <c r="G50" s="5">
        <f t="shared" ref="G50:G58" si="4">B50*B50</f>
        <v>5625</v>
      </c>
      <c r="H50" s="5">
        <f>C50*B50</f>
        <v>900</v>
      </c>
    </row>
    <row r="51" spans="1:18" ht="15.75" x14ac:dyDescent="0.25">
      <c r="A51" s="2" t="s">
        <v>13</v>
      </c>
      <c r="B51" s="5">
        <v>241</v>
      </c>
      <c r="C51" s="5">
        <v>14</v>
      </c>
      <c r="D51" s="5"/>
      <c r="E51" s="5">
        <v>10</v>
      </c>
      <c r="F51" s="5">
        <f t="shared" si="3"/>
        <v>196</v>
      </c>
      <c r="G51" s="5">
        <f t="shared" si="4"/>
        <v>58081</v>
      </c>
      <c r="H51" s="5">
        <f t="shared" ref="H51:H59" si="5">C51*B51</f>
        <v>3374</v>
      </c>
      <c r="J51" s="15" t="s">
        <v>73</v>
      </c>
      <c r="K51" s="15"/>
    </row>
    <row r="52" spans="1:18" ht="15.75" x14ac:dyDescent="0.25">
      <c r="A52" s="2" t="s">
        <v>14</v>
      </c>
      <c r="B52" s="5">
        <v>310</v>
      </c>
      <c r="C52" s="5">
        <v>16</v>
      </c>
      <c r="D52" s="5"/>
      <c r="E52" s="5">
        <v>9</v>
      </c>
      <c r="F52" s="5">
        <f t="shared" si="3"/>
        <v>256</v>
      </c>
      <c r="G52" s="5">
        <f t="shared" si="4"/>
        <v>96100</v>
      </c>
      <c r="H52" s="5">
        <f t="shared" si="5"/>
        <v>4960</v>
      </c>
      <c r="J52" t="s">
        <v>74</v>
      </c>
      <c r="K52">
        <v>0.18627310058702265</v>
      </c>
      <c r="L52" s="16">
        <v>0.18627310058702265</v>
      </c>
    </row>
    <row r="53" spans="1:18" ht="15.75" x14ac:dyDescent="0.25">
      <c r="A53" s="2" t="s">
        <v>15</v>
      </c>
      <c r="B53" s="5">
        <v>50</v>
      </c>
      <c r="C53" s="5">
        <v>11</v>
      </c>
      <c r="D53" s="5"/>
      <c r="E53" s="5">
        <v>15</v>
      </c>
      <c r="F53" s="5">
        <f t="shared" si="3"/>
        <v>121</v>
      </c>
      <c r="G53" s="5">
        <f t="shared" si="4"/>
        <v>2500</v>
      </c>
      <c r="H53" s="5">
        <f t="shared" si="5"/>
        <v>550</v>
      </c>
      <c r="I53" t="s">
        <v>49</v>
      </c>
      <c r="J53" t="s">
        <v>75</v>
      </c>
      <c r="K53">
        <v>3.4697668002303061E-2</v>
      </c>
      <c r="L53" s="16">
        <v>3.4697668002303061E-2</v>
      </c>
    </row>
    <row r="54" spans="1:18" ht="15.75" x14ac:dyDescent="0.25">
      <c r="A54" s="2" t="s">
        <v>16</v>
      </c>
      <c r="B54" s="5">
        <v>250</v>
      </c>
      <c r="C54" s="5">
        <v>12</v>
      </c>
      <c r="D54" s="5"/>
      <c r="E54" s="5">
        <v>20</v>
      </c>
      <c r="F54" s="5">
        <f t="shared" si="3"/>
        <v>144</v>
      </c>
      <c r="G54" s="5">
        <f t="shared" si="4"/>
        <v>62500</v>
      </c>
      <c r="H54" s="5">
        <f t="shared" si="5"/>
        <v>3000</v>
      </c>
      <c r="J54" t="s">
        <v>76</v>
      </c>
      <c r="K54">
        <v>-8.5965123497409063E-2</v>
      </c>
      <c r="L54" s="16">
        <v>-8.5965123497409063E-2</v>
      </c>
    </row>
    <row r="55" spans="1:18" ht="15.75" x14ac:dyDescent="0.25">
      <c r="A55" s="2" t="s">
        <v>17</v>
      </c>
      <c r="B55" s="5">
        <v>250</v>
      </c>
      <c r="C55" s="5">
        <v>16</v>
      </c>
      <c r="D55" s="5"/>
      <c r="E55" s="5">
        <v>20</v>
      </c>
      <c r="F55" s="5">
        <f t="shared" si="3"/>
        <v>256</v>
      </c>
      <c r="G55" s="5">
        <f t="shared" si="4"/>
        <v>62500</v>
      </c>
      <c r="H55" s="5">
        <f t="shared" si="5"/>
        <v>4000</v>
      </c>
      <c r="J55" t="s">
        <v>77</v>
      </c>
      <c r="K55">
        <v>92.369444363713939</v>
      </c>
      <c r="L55" s="16">
        <v>92.369444363713939</v>
      </c>
    </row>
    <row r="56" spans="1:18" ht="16.5" thickBot="1" x14ac:dyDescent="0.3">
      <c r="A56" s="2" t="s">
        <v>18</v>
      </c>
      <c r="B56" s="5">
        <v>259</v>
      </c>
      <c r="C56" s="5">
        <v>16</v>
      </c>
      <c r="D56" s="5"/>
      <c r="E56" s="5">
        <v>5</v>
      </c>
      <c r="F56" s="5">
        <f t="shared" si="3"/>
        <v>256</v>
      </c>
      <c r="G56" s="5">
        <f t="shared" si="4"/>
        <v>67081</v>
      </c>
      <c r="H56" s="5">
        <f t="shared" si="5"/>
        <v>4144</v>
      </c>
      <c r="J56" s="13" t="s">
        <v>78</v>
      </c>
      <c r="K56" s="13">
        <v>10</v>
      </c>
      <c r="L56" s="17">
        <v>10</v>
      </c>
    </row>
    <row r="57" spans="1:18" ht="15.75" x14ac:dyDescent="0.25">
      <c r="A57" s="2" t="s">
        <v>19</v>
      </c>
      <c r="B57" s="5">
        <v>302</v>
      </c>
      <c r="C57" s="5">
        <v>8</v>
      </c>
      <c r="D57" s="5"/>
      <c r="E57" s="5">
        <v>10</v>
      </c>
      <c r="F57" s="5">
        <f t="shared" si="3"/>
        <v>64</v>
      </c>
      <c r="G57" s="5">
        <f t="shared" si="4"/>
        <v>91204</v>
      </c>
      <c r="H57" s="5">
        <f t="shared" si="5"/>
        <v>2416</v>
      </c>
    </row>
    <row r="58" spans="1:18" ht="16.5" thickBot="1" x14ac:dyDescent="0.3">
      <c r="A58" s="2" t="s">
        <v>20</v>
      </c>
      <c r="B58" s="5">
        <v>247</v>
      </c>
      <c r="C58" s="5">
        <v>16</v>
      </c>
      <c r="D58" s="5"/>
      <c r="E58" s="5">
        <v>15</v>
      </c>
      <c r="F58" s="5">
        <f t="shared" si="3"/>
        <v>256</v>
      </c>
      <c r="G58" s="5">
        <f t="shared" si="4"/>
        <v>61009</v>
      </c>
      <c r="H58" s="5">
        <f t="shared" si="5"/>
        <v>3952</v>
      </c>
      <c r="J58" t="s">
        <v>79</v>
      </c>
    </row>
    <row r="59" spans="1:18" ht="15.75" x14ac:dyDescent="0.25">
      <c r="A59" s="2" t="s">
        <v>21</v>
      </c>
      <c r="B59" s="5">
        <v>180</v>
      </c>
      <c r="C59" s="5">
        <v>18</v>
      </c>
      <c r="D59" s="5"/>
      <c r="E59" s="5">
        <v>10</v>
      </c>
      <c r="F59" s="5">
        <f t="shared" si="3"/>
        <v>324</v>
      </c>
      <c r="G59" s="5">
        <f>SUM(B59*B59)</f>
        <v>32400</v>
      </c>
      <c r="H59" s="5">
        <f t="shared" si="5"/>
        <v>3240</v>
      </c>
      <c r="J59" s="14"/>
      <c r="K59" s="14" t="s">
        <v>84</v>
      </c>
      <c r="L59" s="14" t="s">
        <v>85</v>
      </c>
      <c r="M59" s="14" t="s">
        <v>86</v>
      </c>
      <c r="N59" s="14" t="s">
        <v>87</v>
      </c>
      <c r="O59" s="14" t="s">
        <v>88</v>
      </c>
    </row>
    <row r="60" spans="1:18" ht="15.75" x14ac:dyDescent="0.25">
      <c r="A60" s="2" t="s">
        <v>35</v>
      </c>
      <c r="B60" s="5">
        <f>SUM(B50:B59)</f>
        <v>2164</v>
      </c>
      <c r="C60" s="5">
        <f>SUM(C50:C59)</f>
        <v>139</v>
      </c>
      <c r="D60" s="1"/>
      <c r="E60" s="5">
        <f>SUM(E50:E59)</f>
        <v>122</v>
      </c>
      <c r="F60" s="5">
        <f>SUM(F50:F59)</f>
        <v>2017</v>
      </c>
      <c r="G60" s="5">
        <f>SUM(G50:G59)</f>
        <v>539000</v>
      </c>
      <c r="H60" s="5">
        <f>SUM(H50:H59)</f>
        <v>30536</v>
      </c>
      <c r="J60" t="s">
        <v>80</v>
      </c>
      <c r="K60">
        <v>1</v>
      </c>
      <c r="L60">
        <v>2453.4859835100506</v>
      </c>
      <c r="M60">
        <v>2453.4859835100506</v>
      </c>
      <c r="N60">
        <v>0.28755896967944622</v>
      </c>
      <c r="O60">
        <v>0.60637402592770906</v>
      </c>
    </row>
    <row r="61" spans="1:18" x14ac:dyDescent="0.25">
      <c r="J61" t="s">
        <v>81</v>
      </c>
      <c r="K61">
        <v>8</v>
      </c>
      <c r="L61">
        <v>68256.914016489958</v>
      </c>
      <c r="M61">
        <v>8532.1142520612448</v>
      </c>
    </row>
    <row r="62" spans="1:18" ht="15.75" thickBot="1" x14ac:dyDescent="0.3">
      <c r="J62" s="13" t="s">
        <v>82</v>
      </c>
      <c r="K62" s="13">
        <v>9</v>
      </c>
      <c r="L62" s="13">
        <v>70710.400000000009</v>
      </c>
      <c r="M62" s="13"/>
      <c r="N62" s="13"/>
      <c r="O62" s="13"/>
    </row>
    <row r="63" spans="1:18" ht="15.75" thickBot="1" x14ac:dyDescent="0.3"/>
    <row r="64" spans="1:18" ht="15.75" x14ac:dyDescent="0.25">
      <c r="A64" s="1"/>
      <c r="B64" s="1"/>
      <c r="C64" s="1"/>
      <c r="D64" s="1"/>
      <c r="E64" s="1"/>
      <c r="F64" s="1"/>
      <c r="G64" s="1"/>
      <c r="H64" s="1"/>
      <c r="J64" s="14"/>
      <c r="K64" s="14" t="s">
        <v>89</v>
      </c>
      <c r="L64" s="14" t="s">
        <v>77</v>
      </c>
      <c r="M64" s="14" t="s">
        <v>90</v>
      </c>
      <c r="N64" s="14" t="s">
        <v>91</v>
      </c>
      <c r="O64" s="14" t="s">
        <v>92</v>
      </c>
      <c r="P64" s="14" t="s">
        <v>93</v>
      </c>
      <c r="Q64" s="14" t="s">
        <v>94</v>
      </c>
      <c r="R64" s="14" t="s">
        <v>95</v>
      </c>
    </row>
    <row r="65" spans="1:18" ht="15.75" x14ac:dyDescent="0.25">
      <c r="A65" s="1"/>
      <c r="B65" s="1"/>
      <c r="C65" s="1"/>
      <c r="D65" s="1"/>
      <c r="E65" s="1"/>
      <c r="F65" s="1"/>
      <c r="G65" s="1"/>
      <c r="H65" s="1"/>
      <c r="J65" t="s">
        <v>83</v>
      </c>
      <c r="K65">
        <v>141.67726737338052</v>
      </c>
      <c r="L65">
        <v>142.37293405518196</v>
      </c>
      <c r="M65">
        <v>0.99511377154360103</v>
      </c>
      <c r="N65">
        <v>0.34882322848658764</v>
      </c>
      <c r="O65">
        <v>-186.63530729901925</v>
      </c>
      <c r="P65">
        <v>469.98984204578028</v>
      </c>
      <c r="Q65">
        <v>-186.63530729901925</v>
      </c>
      <c r="R65">
        <v>469.98984204578028</v>
      </c>
    </row>
    <row r="66" spans="1:18" ht="16.5" thickBot="1" x14ac:dyDescent="0.3">
      <c r="A66" s="1"/>
      <c r="B66" s="1"/>
      <c r="C66" s="1"/>
      <c r="D66" s="1"/>
      <c r="E66" s="1"/>
      <c r="F66" s="1"/>
      <c r="G66" s="1"/>
      <c r="H66" s="1"/>
      <c r="J66" s="13" t="s">
        <v>10</v>
      </c>
      <c r="K66" s="13">
        <v>5.3757361601884535</v>
      </c>
      <c r="L66" s="13">
        <v>10.024771587011152</v>
      </c>
      <c r="M66" s="13">
        <v>0.5362452514283379</v>
      </c>
      <c r="N66" s="13">
        <v>0.60637402592771206</v>
      </c>
      <c r="O66" s="13">
        <v>-17.741428573936506</v>
      </c>
      <c r="P66" s="13">
        <v>28.492900894313411</v>
      </c>
      <c r="Q66" s="13">
        <v>-17.741428573936506</v>
      </c>
      <c r="R66" s="13">
        <v>28.492900894313411</v>
      </c>
    </row>
    <row r="67" spans="1:18" ht="15.75" x14ac:dyDescent="0.25">
      <c r="A67" s="1"/>
      <c r="B67" s="1"/>
      <c r="C67" s="1"/>
      <c r="D67" s="1"/>
      <c r="E67" s="1"/>
      <c r="F67" s="1"/>
      <c r="G67" s="1"/>
      <c r="H67" s="1"/>
    </row>
    <row r="70" spans="1:18" x14ac:dyDescent="0.25">
      <c r="J70" t="s">
        <v>96</v>
      </c>
      <c r="O70" t="s">
        <v>101</v>
      </c>
    </row>
    <row r="71" spans="1:18" ht="15.75" thickBot="1" x14ac:dyDescent="0.3"/>
    <row r="72" spans="1:18" x14ac:dyDescent="0.25">
      <c r="J72" s="14" t="s">
        <v>97</v>
      </c>
      <c r="K72" s="14" t="s">
        <v>98</v>
      </c>
      <c r="L72" s="14" t="s">
        <v>99</v>
      </c>
      <c r="M72" s="14" t="s">
        <v>100</v>
      </c>
      <c r="O72" s="14" t="s">
        <v>102</v>
      </c>
      <c r="P72" s="14" t="s">
        <v>9</v>
      </c>
    </row>
    <row r="73" spans="1:18" x14ac:dyDescent="0.25">
      <c r="J73">
        <v>1</v>
      </c>
      <c r="K73">
        <v>206.18610129564195</v>
      </c>
      <c r="L73">
        <v>-131.18610129564195</v>
      </c>
      <c r="M73">
        <v>-1.5063842128081624</v>
      </c>
      <c r="O73">
        <v>5</v>
      </c>
      <c r="P73">
        <v>50</v>
      </c>
    </row>
    <row r="74" spans="1:18" x14ac:dyDescent="0.25">
      <c r="J74">
        <v>2</v>
      </c>
      <c r="K74">
        <v>216.93757361601888</v>
      </c>
      <c r="L74">
        <v>24.062426383981119</v>
      </c>
      <c r="M74">
        <v>0.27630411201107863</v>
      </c>
      <c r="O74">
        <v>15</v>
      </c>
      <c r="P74">
        <v>75</v>
      </c>
    </row>
    <row r="75" spans="1:18" x14ac:dyDescent="0.25">
      <c r="J75">
        <v>3</v>
      </c>
      <c r="K75">
        <v>227.68904593639576</v>
      </c>
      <c r="L75">
        <v>82.310954063604242</v>
      </c>
      <c r="M75">
        <v>0.94516050494680226</v>
      </c>
      <c r="O75">
        <v>25</v>
      </c>
      <c r="P75">
        <v>180</v>
      </c>
    </row>
    <row r="76" spans="1:18" x14ac:dyDescent="0.25">
      <c r="J76">
        <v>4</v>
      </c>
      <c r="K76">
        <v>200.81036513545351</v>
      </c>
      <c r="L76">
        <v>-150.81036513545351</v>
      </c>
      <c r="M76">
        <v>-1.7317257767719685</v>
      </c>
      <c r="O76">
        <v>35</v>
      </c>
      <c r="P76">
        <v>241</v>
      </c>
    </row>
    <row r="77" spans="1:18" x14ac:dyDescent="0.25">
      <c r="J77">
        <v>5</v>
      </c>
      <c r="K77">
        <v>206.18610129564195</v>
      </c>
      <c r="L77">
        <v>43.813898704358053</v>
      </c>
      <c r="M77">
        <v>0.50310638595076185</v>
      </c>
      <c r="O77">
        <v>45</v>
      </c>
      <c r="P77">
        <v>247</v>
      </c>
    </row>
    <row r="78" spans="1:18" x14ac:dyDescent="0.25">
      <c r="J78">
        <v>6</v>
      </c>
      <c r="K78">
        <v>227.68904593639576</v>
      </c>
      <c r="L78">
        <v>22.310954063604242</v>
      </c>
      <c r="M78">
        <v>0.25619229965802826</v>
      </c>
      <c r="O78">
        <v>55</v>
      </c>
      <c r="P78">
        <v>250</v>
      </c>
    </row>
    <row r="79" spans="1:18" x14ac:dyDescent="0.25">
      <c r="J79">
        <v>7</v>
      </c>
      <c r="K79">
        <v>227.68904593639576</v>
      </c>
      <c r="L79">
        <v>31.310954063604242</v>
      </c>
      <c r="M79">
        <v>0.35953753045134434</v>
      </c>
      <c r="O79">
        <v>65</v>
      </c>
      <c r="P79">
        <v>250</v>
      </c>
    </row>
    <row r="80" spans="1:18" x14ac:dyDescent="0.25">
      <c r="J80">
        <v>8</v>
      </c>
      <c r="K80">
        <v>184.68315665488814</v>
      </c>
      <c r="L80">
        <v>117.31684334511186</v>
      </c>
      <c r="M80">
        <v>1.3471262501604329</v>
      </c>
      <c r="O80">
        <v>75</v>
      </c>
      <c r="P80">
        <v>259</v>
      </c>
    </row>
    <row r="81" spans="10:16" x14ac:dyDescent="0.25">
      <c r="J81">
        <v>9</v>
      </c>
      <c r="K81">
        <v>227.68904593639576</v>
      </c>
      <c r="L81">
        <v>19.310954063604242</v>
      </c>
      <c r="M81">
        <v>0.22174388939358955</v>
      </c>
      <c r="O81">
        <v>85</v>
      </c>
      <c r="P81">
        <v>302</v>
      </c>
    </row>
    <row r="82" spans="10:16" ht="15.75" thickBot="1" x14ac:dyDescent="0.3">
      <c r="J82" s="13">
        <v>10</v>
      </c>
      <c r="K82" s="13">
        <v>238.44051825677269</v>
      </c>
      <c r="L82" s="13">
        <v>-58.440518256772691</v>
      </c>
      <c r="M82" s="13">
        <v>-0.67106098299190864</v>
      </c>
      <c r="O82" s="13">
        <v>95</v>
      </c>
      <c r="P82" s="13">
        <v>310</v>
      </c>
    </row>
  </sheetData>
  <sortState xmlns:xlrd2="http://schemas.microsoft.com/office/spreadsheetml/2017/richdata2" ref="P73:P82">
    <sortCondition ref="P73"/>
  </sortState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933EC-6EC4-445F-80B8-5B0388061A54}">
  <dimension ref="A1:N65"/>
  <sheetViews>
    <sheetView zoomScaleNormal="100" workbookViewId="0">
      <selection activeCell="K6" sqref="K6"/>
    </sheetView>
  </sheetViews>
  <sheetFormatPr baseColWidth="10" defaultRowHeight="15" x14ac:dyDescent="0.25"/>
  <cols>
    <col min="3" max="3" width="15.85546875" customWidth="1"/>
    <col min="4" max="4" width="19.7109375" customWidth="1"/>
    <col min="6" max="6" width="13.5703125" bestFit="1" customWidth="1"/>
    <col min="7" max="7" width="12.42578125" bestFit="1" customWidth="1"/>
  </cols>
  <sheetData>
    <row r="1" spans="1:9" ht="15.75" x14ac:dyDescent="0.25">
      <c r="A1" s="5" t="s">
        <v>28</v>
      </c>
      <c r="B1" s="5"/>
      <c r="C1" s="5"/>
      <c r="D1" s="5"/>
      <c r="E1" s="5"/>
      <c r="F1" s="5"/>
      <c r="G1" s="5"/>
      <c r="H1" s="5"/>
      <c r="I1" s="5"/>
    </row>
    <row r="2" spans="1:9" ht="15.75" x14ac:dyDescent="0.25">
      <c r="A2" s="5"/>
      <c r="B2" s="5"/>
      <c r="C2" s="5"/>
      <c r="D2" s="5"/>
      <c r="E2" s="5"/>
      <c r="F2" s="5"/>
      <c r="G2" s="5"/>
      <c r="H2" s="5"/>
      <c r="I2" s="5"/>
    </row>
    <row r="3" spans="1:9" ht="15.75" x14ac:dyDescent="0.25">
      <c r="A3" s="5"/>
      <c r="B3" s="5"/>
      <c r="C3" s="5" t="s">
        <v>29</v>
      </c>
      <c r="D3" s="5" t="s">
        <v>32</v>
      </c>
      <c r="E3" s="5"/>
      <c r="F3" s="5"/>
      <c r="G3" s="5"/>
      <c r="H3" s="5"/>
      <c r="I3" s="5"/>
    </row>
    <row r="4" spans="1:9" ht="15.75" x14ac:dyDescent="0.25">
      <c r="A4" s="5"/>
      <c r="B4" s="5" t="s">
        <v>30</v>
      </c>
      <c r="C4" s="5" t="s">
        <v>31</v>
      </c>
      <c r="D4" s="5" t="s">
        <v>33</v>
      </c>
      <c r="E4" s="5"/>
      <c r="F4" s="5"/>
      <c r="G4" s="5" t="s">
        <v>34</v>
      </c>
      <c r="H4" s="5"/>
      <c r="I4" s="5"/>
    </row>
    <row r="5" spans="1:9" ht="15.75" x14ac:dyDescent="0.25">
      <c r="A5" s="5"/>
      <c r="B5" s="5">
        <v>1</v>
      </c>
      <c r="C5" s="5">
        <v>1200</v>
      </c>
      <c r="D5" s="5">
        <v>30000</v>
      </c>
      <c r="E5" s="5">
        <f>SUM(C5*C5)</f>
        <v>1440000</v>
      </c>
      <c r="F5" s="5">
        <f>SUM(D5*D5)</f>
        <v>900000000</v>
      </c>
      <c r="G5" s="5">
        <f>(C5*D5)</f>
        <v>36000000</v>
      </c>
      <c r="H5" s="5"/>
      <c r="I5" s="5"/>
    </row>
    <row r="6" spans="1:9" ht="15.75" x14ac:dyDescent="0.25">
      <c r="A6" s="5"/>
      <c r="B6" s="5">
        <v>2</v>
      </c>
      <c r="C6" s="5">
        <v>1300</v>
      </c>
      <c r="D6" s="5">
        <v>40000</v>
      </c>
      <c r="E6" s="5">
        <f>SUM(C6*C6)</f>
        <v>1690000</v>
      </c>
      <c r="F6" s="5">
        <f t="shared" ref="F6:F16" si="0">SUM(D6*D6)</f>
        <v>1600000000</v>
      </c>
      <c r="G6" s="5">
        <f t="shared" ref="G6:G16" si="1">(C6*D6)</f>
        <v>52000000</v>
      </c>
      <c r="H6" s="5"/>
      <c r="I6" s="5"/>
    </row>
    <row r="7" spans="1:9" ht="15.75" x14ac:dyDescent="0.25">
      <c r="A7" s="5"/>
      <c r="B7" s="5">
        <v>3</v>
      </c>
      <c r="C7" s="5">
        <v>1450</v>
      </c>
      <c r="D7" s="5">
        <v>35000</v>
      </c>
      <c r="E7" s="5">
        <f t="shared" ref="E7:E16" si="2">SUM(C7*C7)</f>
        <v>2102500</v>
      </c>
      <c r="F7" s="5">
        <f t="shared" si="0"/>
        <v>1225000000</v>
      </c>
      <c r="G7" s="5">
        <f t="shared" si="1"/>
        <v>50750000</v>
      </c>
      <c r="H7" s="5"/>
      <c r="I7" s="5"/>
    </row>
    <row r="8" spans="1:9" ht="15.75" x14ac:dyDescent="0.25">
      <c r="A8" s="5"/>
      <c r="B8" s="5">
        <v>4</v>
      </c>
      <c r="C8" s="5">
        <v>1600</v>
      </c>
      <c r="D8" s="5">
        <v>35000</v>
      </c>
      <c r="E8" s="5">
        <f t="shared" si="2"/>
        <v>2560000</v>
      </c>
      <c r="F8" s="5">
        <f t="shared" si="0"/>
        <v>1225000000</v>
      </c>
      <c r="G8" s="5">
        <f t="shared" si="1"/>
        <v>56000000</v>
      </c>
      <c r="H8" s="5"/>
      <c r="I8" s="5"/>
    </row>
    <row r="9" spans="1:9" ht="15.75" x14ac:dyDescent="0.25">
      <c r="A9" s="5"/>
      <c r="B9" s="5">
        <v>5</v>
      </c>
      <c r="C9" s="5">
        <v>2000</v>
      </c>
      <c r="D9" s="5">
        <v>35000</v>
      </c>
      <c r="E9" s="5">
        <f t="shared" si="2"/>
        <v>4000000</v>
      </c>
      <c r="F9" s="5">
        <f t="shared" si="0"/>
        <v>1225000000</v>
      </c>
      <c r="G9" s="5">
        <f t="shared" si="1"/>
        <v>70000000</v>
      </c>
      <c r="H9" s="5"/>
      <c r="I9" s="5"/>
    </row>
    <row r="10" spans="1:9" ht="15.75" x14ac:dyDescent="0.25">
      <c r="A10" s="5"/>
      <c r="B10" s="5">
        <v>6</v>
      </c>
      <c r="C10" s="5">
        <v>2450</v>
      </c>
      <c r="D10" s="5">
        <v>50000</v>
      </c>
      <c r="E10" s="5">
        <f t="shared" si="2"/>
        <v>6002500</v>
      </c>
      <c r="F10" s="5">
        <f t="shared" si="0"/>
        <v>2500000000</v>
      </c>
      <c r="G10" s="5">
        <f t="shared" si="1"/>
        <v>122500000</v>
      </c>
      <c r="H10" s="5"/>
      <c r="I10" s="5"/>
    </row>
    <row r="11" spans="1:9" ht="15.75" x14ac:dyDescent="0.25">
      <c r="A11" s="5"/>
      <c r="B11" s="5">
        <v>7</v>
      </c>
      <c r="C11" s="5">
        <v>3100</v>
      </c>
      <c r="D11" s="5">
        <v>60000</v>
      </c>
      <c r="E11" s="5">
        <f t="shared" si="2"/>
        <v>9610000</v>
      </c>
      <c r="F11" s="5">
        <f t="shared" si="0"/>
        <v>3600000000</v>
      </c>
      <c r="G11" s="5">
        <f t="shared" si="1"/>
        <v>186000000</v>
      </c>
      <c r="H11" s="5"/>
      <c r="I11" s="5"/>
    </row>
    <row r="12" spans="1:9" ht="15.75" x14ac:dyDescent="0.25">
      <c r="A12" s="5"/>
      <c r="B12" s="5">
        <v>8</v>
      </c>
      <c r="C12" s="5">
        <v>1200</v>
      </c>
      <c r="D12" s="5">
        <v>65000</v>
      </c>
      <c r="E12" s="5">
        <f t="shared" si="2"/>
        <v>1440000</v>
      </c>
      <c r="F12" s="5">
        <f t="shared" si="0"/>
        <v>4225000000</v>
      </c>
      <c r="G12" s="5">
        <f t="shared" si="1"/>
        <v>78000000</v>
      </c>
      <c r="H12" s="5"/>
      <c r="I12" s="5"/>
    </row>
    <row r="13" spans="1:9" ht="15.75" x14ac:dyDescent="0.25">
      <c r="A13" s="5"/>
      <c r="B13" s="5">
        <v>9</v>
      </c>
      <c r="C13" s="5">
        <v>1900</v>
      </c>
      <c r="D13" s="5">
        <v>40000</v>
      </c>
      <c r="E13" s="5">
        <f t="shared" si="2"/>
        <v>3610000</v>
      </c>
      <c r="F13" s="5">
        <f t="shared" si="0"/>
        <v>1600000000</v>
      </c>
      <c r="G13" s="5">
        <f t="shared" si="1"/>
        <v>76000000</v>
      </c>
      <c r="H13" s="5"/>
      <c r="I13" s="5"/>
    </row>
    <row r="14" spans="1:9" ht="15.75" x14ac:dyDescent="0.25">
      <c r="A14" s="5"/>
      <c r="B14" s="5">
        <v>10</v>
      </c>
      <c r="C14" s="5">
        <v>2500</v>
      </c>
      <c r="D14" s="5">
        <v>45000</v>
      </c>
      <c r="E14" s="5">
        <f t="shared" si="2"/>
        <v>6250000</v>
      </c>
      <c r="F14" s="5">
        <f t="shared" si="0"/>
        <v>2025000000</v>
      </c>
      <c r="G14" s="5">
        <f t="shared" si="1"/>
        <v>112500000</v>
      </c>
      <c r="H14" s="5"/>
      <c r="I14" s="5"/>
    </row>
    <row r="15" spans="1:9" ht="15.75" x14ac:dyDescent="0.25">
      <c r="A15" s="5"/>
      <c r="B15" s="5">
        <v>11</v>
      </c>
      <c r="C15" s="5">
        <v>3000</v>
      </c>
      <c r="D15" s="5">
        <v>50000</v>
      </c>
      <c r="E15" s="5">
        <f t="shared" si="2"/>
        <v>9000000</v>
      </c>
      <c r="F15" s="5">
        <f t="shared" si="0"/>
        <v>2500000000</v>
      </c>
      <c r="G15" s="5">
        <f t="shared" si="1"/>
        <v>150000000</v>
      </c>
      <c r="H15" s="5"/>
      <c r="I15" s="5"/>
    </row>
    <row r="16" spans="1:9" ht="15.75" x14ac:dyDescent="0.25">
      <c r="A16" s="5"/>
      <c r="B16" s="5">
        <v>12</v>
      </c>
      <c r="C16" s="5">
        <v>4000</v>
      </c>
      <c r="D16" s="5">
        <v>50000</v>
      </c>
      <c r="E16" s="5">
        <f t="shared" si="2"/>
        <v>16000000</v>
      </c>
      <c r="F16" s="5">
        <f t="shared" si="0"/>
        <v>2500000000</v>
      </c>
      <c r="G16" s="5">
        <f t="shared" si="1"/>
        <v>200000000</v>
      </c>
      <c r="H16" s="5"/>
      <c r="I16" s="5"/>
    </row>
    <row r="17" spans="1:14" ht="15.75" x14ac:dyDescent="0.25">
      <c r="A17" s="5"/>
      <c r="B17" s="5" t="s">
        <v>35</v>
      </c>
      <c r="C17" s="5">
        <f>SUM(C5:C16)</f>
        <v>25700</v>
      </c>
      <c r="D17" s="5">
        <f>SUM(D5:D16)</f>
        <v>535000</v>
      </c>
      <c r="E17" s="5">
        <f>SUM(E5:E16)</f>
        <v>63705000</v>
      </c>
      <c r="F17" s="5">
        <f>SUM(F5:F16)</f>
        <v>25125000000</v>
      </c>
      <c r="G17" s="5">
        <f>SUM(G5:G16)</f>
        <v>1189750000</v>
      </c>
      <c r="H17" s="5"/>
      <c r="I17" s="5"/>
    </row>
    <row r="18" spans="1:14" ht="15.75" x14ac:dyDescent="0.25">
      <c r="A18" s="5"/>
      <c r="B18" s="5" t="s">
        <v>36</v>
      </c>
      <c r="C18" s="5">
        <v>12</v>
      </c>
      <c r="D18" s="5"/>
      <c r="E18" s="5"/>
      <c r="F18" s="5"/>
      <c r="G18" s="5"/>
      <c r="H18" s="5"/>
      <c r="I18" s="5"/>
    </row>
    <row r="19" spans="1:14" ht="15.75" x14ac:dyDescent="0.25">
      <c r="A19" s="5"/>
      <c r="B19" s="5"/>
      <c r="C19" s="5"/>
      <c r="D19" s="5"/>
      <c r="E19" s="5"/>
      <c r="F19" s="5"/>
      <c r="G19" s="5"/>
      <c r="H19" s="5"/>
      <c r="I19" s="5"/>
    </row>
    <row r="20" spans="1:14" ht="15.75" x14ac:dyDescent="0.25">
      <c r="A20" s="5"/>
      <c r="B20" s="5"/>
      <c r="C20" s="5"/>
      <c r="D20" s="5"/>
      <c r="E20" s="5"/>
      <c r="F20" s="5"/>
      <c r="G20" s="5"/>
      <c r="H20" s="5"/>
      <c r="I20" s="5"/>
    </row>
    <row r="21" spans="1:14" x14ac:dyDescent="0.25">
      <c r="A21" t="s">
        <v>37</v>
      </c>
    </row>
    <row r="23" spans="1:14" x14ac:dyDescent="0.25">
      <c r="D23" s="9" t="s">
        <v>50</v>
      </c>
      <c r="E23">
        <f>AVERAGE(C5:C16)</f>
        <v>2141.6666666666665</v>
      </c>
      <c r="G23" s="9" t="s">
        <v>52</v>
      </c>
      <c r="H23">
        <f>_xlfn.STDEV.S(C5:C16)</f>
        <v>887.49733247571783</v>
      </c>
      <c r="J23" s="9" t="s">
        <v>54</v>
      </c>
      <c r="K23">
        <f>_xlfn.COVARIANCE.S(C5:C16,D5:D16)</f>
        <v>3996212.1212121206</v>
      </c>
      <c r="M23" s="9" t="s">
        <v>56</v>
      </c>
      <c r="N23">
        <f>K23/(H23*H24)</f>
        <v>0.41857938207411244</v>
      </c>
    </row>
    <row r="24" spans="1:14" x14ac:dyDescent="0.25">
      <c r="D24" s="9" t="s">
        <v>51</v>
      </c>
      <c r="E24">
        <f>AVERAGE(D5:D16)</f>
        <v>44583.333333333336</v>
      </c>
      <c r="G24" s="9" t="s">
        <v>53</v>
      </c>
      <c r="H24">
        <f>_xlfn.STDEV.S(D5:D16)</f>
        <v>10757.309002241085</v>
      </c>
      <c r="J24" s="9" t="s">
        <v>55</v>
      </c>
      <c r="K24">
        <f>_xlfn.VAR.S(C5:C16)</f>
        <v>787651.5151515149</v>
      </c>
      <c r="M24" s="9"/>
    </row>
    <row r="26" spans="1:14" x14ac:dyDescent="0.25">
      <c r="D26" s="10" t="s">
        <v>59</v>
      </c>
      <c r="E26" s="11" t="s">
        <v>57</v>
      </c>
      <c r="F26">
        <f>(H24/H23)*(N23)</f>
        <v>5.073578916995289</v>
      </c>
    </row>
    <row r="27" spans="1:14" x14ac:dyDescent="0.25">
      <c r="D27" s="10" t="s">
        <v>60</v>
      </c>
      <c r="E27" s="11" t="s">
        <v>58</v>
      </c>
      <c r="F27">
        <v>33717.417979999998</v>
      </c>
    </row>
    <row r="32" spans="1:14" x14ac:dyDescent="0.25">
      <c r="A32" t="s">
        <v>44</v>
      </c>
    </row>
    <row r="34" spans="1:7" x14ac:dyDescent="0.25">
      <c r="A34" t="s">
        <v>45</v>
      </c>
    </row>
    <row r="36" spans="1:7" x14ac:dyDescent="0.25">
      <c r="A36" t="s">
        <v>46</v>
      </c>
      <c r="G36" t="s">
        <v>61</v>
      </c>
    </row>
    <row r="37" spans="1:7" x14ac:dyDescent="0.25">
      <c r="A37" t="s">
        <v>47</v>
      </c>
    </row>
    <row r="40" spans="1:7" x14ac:dyDescent="0.25">
      <c r="A40" t="s">
        <v>62</v>
      </c>
    </row>
    <row r="60" spans="1:12" x14ac:dyDescent="0.25">
      <c r="A60" t="s">
        <v>63</v>
      </c>
    </row>
    <row r="62" spans="1:12" x14ac:dyDescent="0.25">
      <c r="A62" t="s">
        <v>64</v>
      </c>
      <c r="H62" t="s">
        <v>65</v>
      </c>
    </row>
    <row r="63" spans="1:12" x14ac:dyDescent="0.25">
      <c r="L63" t="s">
        <v>68</v>
      </c>
    </row>
    <row r="64" spans="1:12" x14ac:dyDescent="0.25">
      <c r="A64" t="s">
        <v>66</v>
      </c>
      <c r="H64" t="s">
        <v>67</v>
      </c>
    </row>
    <row r="65" spans="1:8" x14ac:dyDescent="0.25">
      <c r="A65">
        <f>INTERCEPT(D5:D16,C5:C16)</f>
        <v>33717.418486101764</v>
      </c>
      <c r="H65">
        <f>SLOPE(D5:D16,C5:C16)</f>
        <v>5.0735789169952872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REGRESION LINEAL</vt:lpstr>
      <vt:lpstr>COEFICIENTES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Mayra Ortega Herna´´ndez</dc:creator>
  <cp:lastModifiedBy>Mayra Ortega Herna´´ndez</cp:lastModifiedBy>
  <cp:lastPrinted>2023-04-29T22:02:35Z</cp:lastPrinted>
  <dcterms:created xsi:type="dcterms:W3CDTF">2023-04-27T04:46:34Z</dcterms:created>
  <dcterms:modified xsi:type="dcterms:W3CDTF">2023-04-29T22:06:16Z</dcterms:modified>
</cp:coreProperties>
</file>